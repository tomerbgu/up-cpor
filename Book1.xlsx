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vkaie\OneDrive - Intel Corporation\Documents\School\up-cpor\"/>
    </mc:Choice>
  </mc:AlternateContent>
  <xr:revisionPtr revIDLastSave="0" documentId="13_ncr:1_{4A84436C-CB2E-4F9A-89A8-E54B57E41366}" xr6:coauthVersionLast="47" xr6:coauthVersionMax="47" xr10:uidLastSave="{00000000-0000-0000-0000-000000000000}"/>
  <bookViews>
    <workbookView xWindow="-108" yWindow="-108" windowWidth="23256" windowHeight="13896" activeTab="1" xr2:uid="{61F1FD18-A88C-46A2-B3B1-79A8B47B28D9}"/>
  </bookViews>
  <sheets>
    <sheet name="res for paper" sheetId="6" r:id="rId1"/>
    <sheet name="results" sheetId="5" r:id="rId2"/>
    <sheet name="domain stats" sheetId="1" r:id="rId3"/>
    <sheet name="res" sheetId="2" r:id="rId4"/>
    <sheet name="results new format" sheetId="3" r:id="rId5"/>
    <sheet name="Sheet4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6" l="1"/>
  <c r="L14" i="6"/>
  <c r="K14" i="6"/>
  <c r="J14" i="6"/>
  <c r="I14" i="6"/>
  <c r="H14" i="6"/>
  <c r="G14" i="6"/>
  <c r="F14" i="6"/>
  <c r="E14" i="6"/>
  <c r="I217" i="6"/>
  <c r="E217" i="6"/>
  <c r="F217" i="6"/>
  <c r="G217" i="6"/>
  <c r="H217" i="6"/>
  <c r="J217" i="6"/>
  <c r="K217" i="6"/>
  <c r="L217" i="6"/>
  <c r="M217" i="6"/>
  <c r="N217" i="6"/>
  <c r="O217" i="6"/>
  <c r="P217" i="6"/>
  <c r="E164" i="6"/>
  <c r="F164" i="6"/>
  <c r="G164" i="6"/>
  <c r="H164" i="6"/>
  <c r="I164" i="6"/>
  <c r="J164" i="6"/>
  <c r="K164" i="6"/>
  <c r="M164" i="6"/>
  <c r="N164" i="6"/>
  <c r="P164" i="6"/>
  <c r="Q164" i="6"/>
  <c r="S164" i="6"/>
  <c r="T164" i="6"/>
  <c r="V164" i="6"/>
  <c r="E165" i="6"/>
  <c r="F165" i="6"/>
  <c r="G165" i="6"/>
  <c r="H165" i="6"/>
  <c r="I165" i="6"/>
  <c r="J165" i="6"/>
  <c r="K165" i="6"/>
  <c r="M165" i="6"/>
  <c r="N165" i="6"/>
  <c r="P165" i="6"/>
  <c r="Q165" i="6"/>
  <c r="S165" i="6"/>
  <c r="T165" i="6"/>
  <c r="V165" i="6"/>
  <c r="E166" i="6"/>
  <c r="F166" i="6"/>
  <c r="G166" i="6"/>
  <c r="H166" i="6"/>
  <c r="I166" i="6"/>
  <c r="J166" i="6"/>
  <c r="K166" i="6"/>
  <c r="M166" i="6"/>
  <c r="N166" i="6"/>
  <c r="P166" i="6"/>
  <c r="Q166" i="6"/>
  <c r="S166" i="6"/>
  <c r="T166" i="6"/>
  <c r="V166" i="6"/>
  <c r="E167" i="6"/>
  <c r="F167" i="6"/>
  <c r="G167" i="6"/>
  <c r="H167" i="6"/>
  <c r="I167" i="6"/>
  <c r="J167" i="6"/>
  <c r="K167" i="6"/>
  <c r="M167" i="6"/>
  <c r="N167" i="6"/>
  <c r="P167" i="6"/>
  <c r="Q167" i="6"/>
  <c r="S167" i="6"/>
  <c r="T167" i="6"/>
  <c r="V167" i="6"/>
  <c r="E168" i="6"/>
  <c r="F168" i="6"/>
  <c r="G168" i="6"/>
  <c r="H168" i="6"/>
  <c r="I168" i="6"/>
  <c r="J168" i="6"/>
  <c r="K168" i="6"/>
  <c r="M168" i="6"/>
  <c r="N168" i="6"/>
  <c r="P168" i="6"/>
  <c r="Q168" i="6"/>
  <c r="S168" i="6"/>
  <c r="T168" i="6"/>
  <c r="V168" i="6"/>
  <c r="E169" i="6"/>
  <c r="F169" i="6"/>
  <c r="G169" i="6"/>
  <c r="H169" i="6"/>
  <c r="I169" i="6"/>
  <c r="J169" i="6"/>
  <c r="K169" i="6"/>
  <c r="M169" i="6"/>
  <c r="N169" i="6"/>
  <c r="P169" i="6"/>
  <c r="Q169" i="6"/>
  <c r="S169" i="6"/>
  <c r="T169" i="6"/>
  <c r="V169" i="6"/>
  <c r="E163" i="6"/>
  <c r="F163" i="6"/>
  <c r="G163" i="6"/>
  <c r="H163" i="6"/>
  <c r="I163" i="6"/>
  <c r="J163" i="6"/>
  <c r="K163" i="6"/>
  <c r="M163" i="6"/>
  <c r="N163" i="6"/>
  <c r="P163" i="6"/>
  <c r="Q163" i="6"/>
  <c r="S163" i="6"/>
  <c r="T163" i="6"/>
  <c r="V163" i="6"/>
  <c r="E145" i="6"/>
  <c r="F145" i="6"/>
  <c r="G145" i="6"/>
  <c r="H145" i="6"/>
  <c r="J145" i="6"/>
  <c r="K145" i="6"/>
  <c r="M145" i="6"/>
  <c r="N145" i="6"/>
  <c r="P145" i="6"/>
  <c r="Q145" i="6"/>
  <c r="S145" i="6"/>
  <c r="T145" i="6"/>
  <c r="V145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E149" i="6"/>
  <c r="E162" i="6"/>
  <c r="F162" i="6"/>
  <c r="G162" i="6"/>
  <c r="H162" i="6"/>
  <c r="I162" i="6"/>
  <c r="J162" i="6"/>
  <c r="K162" i="6"/>
  <c r="M162" i="6"/>
  <c r="N162" i="6"/>
  <c r="P162" i="6"/>
  <c r="Q162" i="6"/>
  <c r="S162" i="6"/>
  <c r="T162" i="6"/>
  <c r="V162" i="6"/>
  <c r="P240" i="6"/>
  <c r="O240" i="6"/>
  <c r="N240" i="6"/>
  <c r="M240" i="6"/>
  <c r="L240" i="6"/>
  <c r="K240" i="6"/>
  <c r="J240" i="6"/>
  <c r="I240" i="6"/>
  <c r="H240" i="6"/>
  <c r="G240" i="6"/>
  <c r="F240" i="6"/>
  <c r="E240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P232" i="6"/>
  <c r="O232" i="6"/>
  <c r="N232" i="6"/>
  <c r="M232" i="6"/>
  <c r="L232" i="6"/>
  <c r="K232" i="6"/>
  <c r="J232" i="6"/>
  <c r="I232" i="6"/>
  <c r="H232" i="6"/>
  <c r="G232" i="6"/>
  <c r="F232" i="6"/>
  <c r="E232" i="6"/>
  <c r="P231" i="6"/>
  <c r="O231" i="6"/>
  <c r="N231" i="6"/>
  <c r="M231" i="6"/>
  <c r="L231" i="6"/>
  <c r="K231" i="6"/>
  <c r="J231" i="6"/>
  <c r="I231" i="6"/>
  <c r="H231" i="6"/>
  <c r="G231" i="6"/>
  <c r="F231" i="6"/>
  <c r="E231" i="6"/>
  <c r="P230" i="6"/>
  <c r="O230" i="6"/>
  <c r="N230" i="6"/>
  <c r="M230" i="6"/>
  <c r="L230" i="6"/>
  <c r="K230" i="6"/>
  <c r="J230" i="6"/>
  <c r="I230" i="6"/>
  <c r="H230" i="6"/>
  <c r="G230" i="6"/>
  <c r="F230" i="6"/>
  <c r="E230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P222" i="6"/>
  <c r="O222" i="6"/>
  <c r="N222" i="6"/>
  <c r="M222" i="6"/>
  <c r="L222" i="6"/>
  <c r="K222" i="6"/>
  <c r="J222" i="6"/>
  <c r="I222" i="6"/>
  <c r="H222" i="6"/>
  <c r="G222" i="6"/>
  <c r="F222" i="6"/>
  <c r="E222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E9" i="6"/>
  <c r="F9" i="6"/>
  <c r="G9" i="6"/>
  <c r="H9" i="6"/>
  <c r="I9" i="6"/>
  <c r="J9" i="6"/>
  <c r="K9" i="6"/>
  <c r="L9" i="6"/>
  <c r="M9" i="6"/>
  <c r="E10" i="6"/>
  <c r="F10" i="6"/>
  <c r="G10" i="6"/>
  <c r="H10" i="6"/>
  <c r="I10" i="6"/>
  <c r="J10" i="6"/>
  <c r="K10" i="6"/>
  <c r="L10" i="6"/>
  <c r="M10" i="6"/>
  <c r="E11" i="6"/>
  <c r="F11" i="6"/>
  <c r="G11" i="6"/>
  <c r="H11" i="6"/>
  <c r="I11" i="6"/>
  <c r="J11" i="6"/>
  <c r="K11" i="6"/>
  <c r="L11" i="6"/>
  <c r="M11" i="6"/>
  <c r="E12" i="6"/>
  <c r="F12" i="6"/>
  <c r="G12" i="6"/>
  <c r="H12" i="6"/>
  <c r="I12" i="6"/>
  <c r="J12" i="6"/>
  <c r="K12" i="6"/>
  <c r="L12" i="6"/>
  <c r="M12" i="6"/>
  <c r="E13" i="6"/>
  <c r="F13" i="6"/>
  <c r="G13" i="6"/>
  <c r="H13" i="6"/>
  <c r="I13" i="6"/>
  <c r="J13" i="6"/>
  <c r="K13" i="6"/>
  <c r="L13" i="6"/>
  <c r="M13" i="6"/>
  <c r="E15" i="6"/>
  <c r="F15" i="6"/>
  <c r="G15" i="6"/>
  <c r="H15" i="6"/>
  <c r="I15" i="6"/>
  <c r="J15" i="6"/>
  <c r="K15" i="6"/>
  <c r="L15" i="6"/>
  <c r="M15" i="6"/>
  <c r="E16" i="6"/>
  <c r="F16" i="6"/>
  <c r="G16" i="6"/>
  <c r="H16" i="6"/>
  <c r="I16" i="6"/>
  <c r="J16" i="6"/>
  <c r="K16" i="6"/>
  <c r="L16" i="6"/>
  <c r="M16" i="6"/>
  <c r="E18" i="6"/>
  <c r="F18" i="6"/>
  <c r="G18" i="6"/>
  <c r="H18" i="6"/>
  <c r="I18" i="6"/>
  <c r="J18" i="6"/>
  <c r="K18" i="6"/>
  <c r="L18" i="6"/>
  <c r="M18" i="6"/>
  <c r="E19" i="6"/>
  <c r="F19" i="6"/>
  <c r="G19" i="6"/>
  <c r="H19" i="6"/>
  <c r="I19" i="6"/>
  <c r="J19" i="6"/>
  <c r="K19" i="6"/>
  <c r="L19" i="6"/>
  <c r="M19" i="6"/>
  <c r="E20" i="6"/>
  <c r="F20" i="6"/>
  <c r="G20" i="6"/>
  <c r="H20" i="6"/>
  <c r="I20" i="6"/>
  <c r="J20" i="6"/>
  <c r="K20" i="6"/>
  <c r="L20" i="6"/>
  <c r="M20" i="6"/>
  <c r="E21" i="6"/>
  <c r="F21" i="6"/>
  <c r="G21" i="6"/>
  <c r="H21" i="6"/>
  <c r="I21" i="6"/>
  <c r="J21" i="6"/>
  <c r="K21" i="6"/>
  <c r="L21" i="6"/>
  <c r="M21" i="6"/>
  <c r="F8" i="6"/>
  <c r="G8" i="6"/>
  <c r="H8" i="6"/>
  <c r="I8" i="6"/>
  <c r="J8" i="6"/>
  <c r="K8" i="6"/>
  <c r="L8" i="6"/>
  <c r="M8" i="6"/>
  <c r="E8" i="6"/>
  <c r="E161" i="6"/>
  <c r="F161" i="6"/>
  <c r="G161" i="6"/>
  <c r="H161" i="6"/>
  <c r="I161" i="6"/>
  <c r="J161" i="6"/>
  <c r="K161" i="6"/>
  <c r="M161" i="6"/>
  <c r="N161" i="6"/>
  <c r="P161" i="6"/>
  <c r="Q161" i="6"/>
  <c r="S161" i="6"/>
  <c r="T161" i="6"/>
  <c r="V161" i="6"/>
  <c r="E144" i="6"/>
  <c r="F144" i="6"/>
  <c r="G144" i="6"/>
  <c r="H144" i="6"/>
  <c r="J144" i="6"/>
  <c r="K144" i="6"/>
  <c r="M144" i="6"/>
  <c r="N144" i="6"/>
  <c r="P144" i="6"/>
  <c r="Q144" i="6"/>
  <c r="S144" i="6"/>
  <c r="T144" i="6"/>
  <c r="V144" i="6"/>
  <c r="E143" i="6"/>
  <c r="F143" i="6"/>
  <c r="G143" i="6"/>
  <c r="H143" i="6"/>
  <c r="J143" i="6"/>
  <c r="K143" i="6"/>
  <c r="M143" i="6"/>
  <c r="N143" i="6"/>
  <c r="P143" i="6"/>
  <c r="Q143" i="6"/>
  <c r="S143" i="6"/>
  <c r="T143" i="6"/>
  <c r="V14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E158" i="6"/>
  <c r="F158" i="6"/>
  <c r="G158" i="6"/>
  <c r="H158" i="6"/>
  <c r="I158" i="6"/>
  <c r="J158" i="6"/>
  <c r="K158" i="6"/>
  <c r="M158" i="6"/>
  <c r="N158" i="6"/>
  <c r="P158" i="6"/>
  <c r="Q158" i="6"/>
  <c r="S158" i="6"/>
  <c r="T158" i="6"/>
  <c r="V158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F194" i="6"/>
  <c r="G194" i="6"/>
  <c r="H194" i="6"/>
  <c r="I194" i="6"/>
  <c r="J194" i="6"/>
  <c r="K194" i="6"/>
  <c r="L194" i="6"/>
  <c r="M194" i="6"/>
  <c r="N194" i="6"/>
  <c r="O194" i="6"/>
  <c r="P194" i="6"/>
  <c r="F195" i="6"/>
  <c r="G195" i="6"/>
  <c r="H195" i="6"/>
  <c r="I195" i="6"/>
  <c r="J195" i="6"/>
  <c r="K195" i="6"/>
  <c r="L195" i="6"/>
  <c r="M195" i="6"/>
  <c r="N195" i="6"/>
  <c r="O195" i="6"/>
  <c r="P195" i="6"/>
  <c r="F196" i="6"/>
  <c r="G196" i="6"/>
  <c r="H196" i="6"/>
  <c r="I196" i="6"/>
  <c r="J196" i="6"/>
  <c r="K196" i="6"/>
  <c r="L196" i="6"/>
  <c r="M196" i="6"/>
  <c r="N196" i="6"/>
  <c r="O196" i="6"/>
  <c r="P196" i="6"/>
  <c r="F197" i="6"/>
  <c r="G197" i="6"/>
  <c r="H197" i="6"/>
  <c r="I197" i="6"/>
  <c r="J197" i="6"/>
  <c r="K197" i="6"/>
  <c r="L197" i="6"/>
  <c r="M197" i="6"/>
  <c r="N197" i="6"/>
  <c r="O197" i="6"/>
  <c r="P197" i="6"/>
  <c r="F198" i="6"/>
  <c r="G198" i="6"/>
  <c r="H198" i="6"/>
  <c r="I198" i="6"/>
  <c r="J198" i="6"/>
  <c r="K198" i="6"/>
  <c r="L198" i="6"/>
  <c r="M198" i="6"/>
  <c r="N198" i="6"/>
  <c r="O198" i="6"/>
  <c r="P198" i="6"/>
  <c r="F201" i="6"/>
  <c r="G201" i="6"/>
  <c r="H201" i="6"/>
  <c r="I201" i="6"/>
  <c r="J201" i="6"/>
  <c r="K201" i="6"/>
  <c r="L201" i="6"/>
  <c r="M201" i="6"/>
  <c r="N201" i="6"/>
  <c r="O201" i="6"/>
  <c r="P201" i="6"/>
  <c r="F202" i="6"/>
  <c r="G202" i="6"/>
  <c r="H202" i="6"/>
  <c r="I202" i="6"/>
  <c r="J202" i="6"/>
  <c r="K202" i="6"/>
  <c r="L202" i="6"/>
  <c r="M202" i="6"/>
  <c r="N202" i="6"/>
  <c r="O202" i="6"/>
  <c r="P202" i="6"/>
  <c r="F204" i="6"/>
  <c r="G204" i="6"/>
  <c r="H204" i="6"/>
  <c r="I204" i="6"/>
  <c r="J204" i="6"/>
  <c r="K204" i="6"/>
  <c r="L204" i="6"/>
  <c r="M204" i="6"/>
  <c r="N204" i="6"/>
  <c r="O204" i="6"/>
  <c r="P204" i="6"/>
  <c r="F205" i="6"/>
  <c r="G205" i="6"/>
  <c r="H205" i="6"/>
  <c r="I205" i="6"/>
  <c r="J205" i="6"/>
  <c r="K205" i="6"/>
  <c r="L205" i="6"/>
  <c r="M205" i="6"/>
  <c r="N205" i="6"/>
  <c r="O205" i="6"/>
  <c r="P205" i="6"/>
  <c r="E205" i="6"/>
  <c r="E195" i="6"/>
  <c r="E196" i="6"/>
  <c r="E197" i="6"/>
  <c r="E198" i="6"/>
  <c r="E201" i="6"/>
  <c r="E202" i="6"/>
  <c r="E204" i="6"/>
  <c r="E194" i="6"/>
  <c r="F176" i="6"/>
  <c r="G176" i="6"/>
  <c r="H176" i="6"/>
  <c r="I176" i="6"/>
  <c r="J176" i="6"/>
  <c r="K176" i="6"/>
  <c r="L176" i="6"/>
  <c r="M176" i="6"/>
  <c r="N176" i="6"/>
  <c r="O176" i="6"/>
  <c r="P176" i="6"/>
  <c r="F177" i="6"/>
  <c r="G177" i="6"/>
  <c r="H177" i="6"/>
  <c r="I177" i="6"/>
  <c r="J177" i="6"/>
  <c r="K177" i="6"/>
  <c r="L177" i="6"/>
  <c r="M177" i="6"/>
  <c r="N177" i="6"/>
  <c r="O177" i="6"/>
  <c r="P177" i="6"/>
  <c r="F178" i="6"/>
  <c r="G178" i="6"/>
  <c r="H178" i="6"/>
  <c r="I178" i="6"/>
  <c r="J178" i="6"/>
  <c r="K178" i="6"/>
  <c r="L178" i="6"/>
  <c r="M178" i="6"/>
  <c r="N178" i="6"/>
  <c r="O178" i="6"/>
  <c r="P178" i="6"/>
  <c r="F179" i="6"/>
  <c r="G179" i="6"/>
  <c r="H179" i="6"/>
  <c r="I179" i="6"/>
  <c r="J179" i="6"/>
  <c r="K179" i="6"/>
  <c r="L179" i="6"/>
  <c r="M179" i="6"/>
  <c r="N179" i="6"/>
  <c r="O179" i="6"/>
  <c r="P179" i="6"/>
  <c r="F180" i="6"/>
  <c r="G180" i="6"/>
  <c r="H180" i="6"/>
  <c r="I180" i="6"/>
  <c r="J180" i="6"/>
  <c r="K180" i="6"/>
  <c r="L180" i="6"/>
  <c r="M180" i="6"/>
  <c r="N180" i="6"/>
  <c r="O180" i="6"/>
  <c r="P180" i="6"/>
  <c r="F182" i="6"/>
  <c r="G182" i="6"/>
  <c r="H182" i="6"/>
  <c r="I182" i="6"/>
  <c r="J182" i="6"/>
  <c r="K182" i="6"/>
  <c r="L182" i="6"/>
  <c r="M182" i="6"/>
  <c r="N182" i="6"/>
  <c r="O182" i="6"/>
  <c r="P182" i="6"/>
  <c r="F183" i="6"/>
  <c r="G183" i="6"/>
  <c r="H183" i="6"/>
  <c r="I183" i="6"/>
  <c r="J183" i="6"/>
  <c r="K183" i="6"/>
  <c r="L183" i="6"/>
  <c r="M183" i="6"/>
  <c r="N183" i="6"/>
  <c r="O183" i="6"/>
  <c r="P183" i="6"/>
  <c r="F184" i="6"/>
  <c r="G184" i="6"/>
  <c r="H184" i="6"/>
  <c r="I184" i="6"/>
  <c r="J184" i="6"/>
  <c r="K184" i="6"/>
  <c r="L184" i="6"/>
  <c r="M184" i="6"/>
  <c r="N184" i="6"/>
  <c r="O184" i="6"/>
  <c r="P184" i="6"/>
  <c r="F186" i="6"/>
  <c r="G186" i="6"/>
  <c r="H186" i="6"/>
  <c r="I186" i="6"/>
  <c r="J186" i="6"/>
  <c r="K186" i="6"/>
  <c r="L186" i="6"/>
  <c r="M186" i="6"/>
  <c r="N186" i="6"/>
  <c r="O186" i="6"/>
  <c r="P186" i="6"/>
  <c r="F187" i="6"/>
  <c r="G187" i="6"/>
  <c r="H187" i="6"/>
  <c r="I187" i="6"/>
  <c r="J187" i="6"/>
  <c r="K187" i="6"/>
  <c r="L187" i="6"/>
  <c r="M187" i="6"/>
  <c r="N187" i="6"/>
  <c r="O187" i="6"/>
  <c r="P187" i="6"/>
  <c r="E177" i="6"/>
  <c r="E178" i="6"/>
  <c r="E179" i="6"/>
  <c r="E180" i="6"/>
  <c r="E182" i="6"/>
  <c r="E183" i="6"/>
  <c r="E184" i="6"/>
  <c r="E186" i="6"/>
  <c r="E187" i="6"/>
  <c r="E176" i="6"/>
  <c r="I160" i="6"/>
  <c r="I159" i="6"/>
  <c r="F159" i="6"/>
  <c r="G159" i="6"/>
  <c r="H159" i="6"/>
  <c r="J159" i="6"/>
  <c r="K159" i="6"/>
  <c r="M159" i="6"/>
  <c r="N159" i="6"/>
  <c r="P159" i="6"/>
  <c r="Q159" i="6"/>
  <c r="S159" i="6"/>
  <c r="T159" i="6"/>
  <c r="V159" i="6"/>
  <c r="F160" i="6"/>
  <c r="G160" i="6"/>
  <c r="H160" i="6"/>
  <c r="J160" i="6"/>
  <c r="K160" i="6"/>
  <c r="M160" i="6"/>
  <c r="N160" i="6"/>
  <c r="P160" i="6"/>
  <c r="Q160" i="6"/>
  <c r="S160" i="6"/>
  <c r="T160" i="6"/>
  <c r="V160" i="6"/>
  <c r="E159" i="6"/>
  <c r="E160" i="6"/>
  <c r="F140" i="6"/>
  <c r="G140" i="6"/>
  <c r="H140" i="6"/>
  <c r="J140" i="6"/>
  <c r="K140" i="6"/>
  <c r="M140" i="6"/>
  <c r="N140" i="6"/>
  <c r="P140" i="6"/>
  <c r="Q140" i="6"/>
  <c r="S140" i="6"/>
  <c r="T140" i="6"/>
  <c r="V140" i="6"/>
  <c r="F141" i="6"/>
  <c r="G141" i="6"/>
  <c r="H141" i="6"/>
  <c r="J141" i="6"/>
  <c r="K141" i="6"/>
  <c r="M141" i="6"/>
  <c r="N141" i="6"/>
  <c r="P141" i="6"/>
  <c r="Q141" i="6"/>
  <c r="S141" i="6"/>
  <c r="T141" i="6"/>
  <c r="V141" i="6"/>
  <c r="F142" i="6"/>
  <c r="G142" i="6"/>
  <c r="H142" i="6"/>
  <c r="J142" i="6"/>
  <c r="K142" i="6"/>
  <c r="M142" i="6"/>
  <c r="N142" i="6"/>
  <c r="P142" i="6"/>
  <c r="Q142" i="6"/>
  <c r="S142" i="6"/>
  <c r="T142" i="6"/>
  <c r="V142" i="6"/>
  <c r="F146" i="6"/>
  <c r="G146" i="6"/>
  <c r="H146" i="6"/>
  <c r="J146" i="6"/>
  <c r="K146" i="6"/>
  <c r="M146" i="6"/>
  <c r="N146" i="6"/>
  <c r="P146" i="6"/>
  <c r="Q146" i="6"/>
  <c r="S146" i="6"/>
  <c r="T146" i="6"/>
  <c r="V146" i="6"/>
  <c r="F147" i="6"/>
  <c r="G147" i="6"/>
  <c r="H147" i="6"/>
  <c r="J147" i="6"/>
  <c r="K147" i="6"/>
  <c r="M147" i="6"/>
  <c r="N147" i="6"/>
  <c r="P147" i="6"/>
  <c r="Q147" i="6"/>
  <c r="S147" i="6"/>
  <c r="T147" i="6"/>
  <c r="V147" i="6"/>
  <c r="F148" i="6"/>
  <c r="G148" i="6"/>
  <c r="H148" i="6"/>
  <c r="J148" i="6"/>
  <c r="K148" i="6"/>
  <c r="M148" i="6"/>
  <c r="N148" i="6"/>
  <c r="P148" i="6"/>
  <c r="Q148" i="6"/>
  <c r="S148" i="6"/>
  <c r="T148" i="6"/>
  <c r="V148" i="6"/>
  <c r="F150" i="6"/>
  <c r="G150" i="6"/>
  <c r="H150" i="6"/>
  <c r="J150" i="6"/>
  <c r="K150" i="6"/>
  <c r="M150" i="6"/>
  <c r="N150" i="6"/>
  <c r="P150" i="6"/>
  <c r="Q150" i="6"/>
  <c r="S150" i="6"/>
  <c r="T150" i="6"/>
  <c r="V150" i="6"/>
  <c r="F151" i="6"/>
  <c r="G151" i="6"/>
  <c r="H151" i="6"/>
  <c r="J151" i="6"/>
  <c r="K151" i="6"/>
  <c r="M151" i="6"/>
  <c r="N151" i="6"/>
  <c r="P151" i="6"/>
  <c r="Q151" i="6"/>
  <c r="S151" i="6"/>
  <c r="T151" i="6"/>
  <c r="V151" i="6"/>
  <c r="E141" i="6"/>
  <c r="E142" i="6"/>
  <c r="E146" i="6"/>
  <c r="E147" i="6"/>
  <c r="E148" i="6"/>
  <c r="E150" i="6"/>
  <c r="E151" i="6"/>
  <c r="E140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W39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W31" i="6"/>
  <c r="W32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W30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W3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W28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E125" i="6"/>
  <c r="E126" i="6"/>
  <c r="E128" i="6"/>
  <c r="E129" i="6"/>
  <c r="E130" i="6"/>
  <c r="E131" i="6"/>
  <c r="E132" i="6"/>
  <c r="E133" i="6"/>
  <c r="R107" i="6"/>
  <c r="S107" i="6"/>
  <c r="T107" i="6"/>
  <c r="R108" i="6"/>
  <c r="S108" i="6"/>
  <c r="T108" i="6"/>
  <c r="R110" i="6"/>
  <c r="S110" i="6"/>
  <c r="T110" i="6"/>
  <c r="R111" i="6"/>
  <c r="S111" i="6"/>
  <c r="T111" i="6"/>
  <c r="R112" i="6"/>
  <c r="S112" i="6"/>
  <c r="T112" i="6"/>
  <c r="R113" i="6"/>
  <c r="S113" i="6"/>
  <c r="T113" i="6"/>
  <c r="R114" i="6"/>
  <c r="S114" i="6"/>
  <c r="T114" i="6"/>
  <c r="R115" i="6"/>
  <c r="S115" i="6"/>
  <c r="T115" i="6"/>
  <c r="Q107" i="6"/>
  <c r="Q108" i="6"/>
  <c r="Q110" i="6"/>
  <c r="Q111" i="6"/>
  <c r="Q112" i="6"/>
  <c r="Q113" i="6"/>
  <c r="Q114" i="6"/>
  <c r="Q115" i="6"/>
  <c r="F107" i="6"/>
  <c r="G107" i="6"/>
  <c r="H107" i="6"/>
  <c r="I107" i="6"/>
  <c r="J107" i="6"/>
  <c r="K107" i="6"/>
  <c r="L107" i="6"/>
  <c r="M107" i="6"/>
  <c r="N107" i="6"/>
  <c r="O107" i="6"/>
  <c r="P107" i="6"/>
  <c r="F108" i="6"/>
  <c r="G108" i="6"/>
  <c r="H108" i="6"/>
  <c r="I108" i="6"/>
  <c r="J108" i="6"/>
  <c r="K108" i="6"/>
  <c r="L108" i="6"/>
  <c r="M108" i="6"/>
  <c r="N108" i="6"/>
  <c r="O108" i="6"/>
  <c r="P108" i="6"/>
  <c r="F110" i="6"/>
  <c r="G110" i="6"/>
  <c r="H110" i="6"/>
  <c r="I110" i="6"/>
  <c r="J110" i="6"/>
  <c r="K110" i="6"/>
  <c r="L110" i="6"/>
  <c r="M110" i="6"/>
  <c r="N110" i="6"/>
  <c r="O110" i="6"/>
  <c r="P110" i="6"/>
  <c r="F111" i="6"/>
  <c r="G111" i="6"/>
  <c r="H111" i="6"/>
  <c r="I111" i="6"/>
  <c r="J111" i="6"/>
  <c r="K111" i="6"/>
  <c r="L111" i="6"/>
  <c r="M111" i="6"/>
  <c r="N111" i="6"/>
  <c r="O111" i="6"/>
  <c r="P111" i="6"/>
  <c r="F112" i="6"/>
  <c r="G112" i="6"/>
  <c r="H112" i="6"/>
  <c r="I112" i="6"/>
  <c r="J112" i="6"/>
  <c r="K112" i="6"/>
  <c r="L112" i="6"/>
  <c r="M112" i="6"/>
  <c r="N112" i="6"/>
  <c r="O112" i="6"/>
  <c r="P112" i="6"/>
  <c r="F113" i="6"/>
  <c r="G113" i="6"/>
  <c r="H113" i="6"/>
  <c r="I113" i="6"/>
  <c r="J113" i="6"/>
  <c r="K113" i="6"/>
  <c r="L113" i="6"/>
  <c r="M113" i="6"/>
  <c r="N113" i="6"/>
  <c r="O113" i="6"/>
  <c r="P113" i="6"/>
  <c r="F114" i="6"/>
  <c r="G114" i="6"/>
  <c r="H114" i="6"/>
  <c r="I114" i="6"/>
  <c r="J114" i="6"/>
  <c r="K114" i="6"/>
  <c r="L114" i="6"/>
  <c r="M114" i="6"/>
  <c r="N114" i="6"/>
  <c r="O114" i="6"/>
  <c r="P114" i="6"/>
  <c r="F115" i="6"/>
  <c r="G115" i="6"/>
  <c r="H115" i="6"/>
  <c r="I115" i="6"/>
  <c r="J115" i="6"/>
  <c r="K115" i="6"/>
  <c r="L115" i="6"/>
  <c r="M115" i="6"/>
  <c r="N115" i="6"/>
  <c r="O115" i="6"/>
  <c r="P115" i="6"/>
  <c r="E107" i="6"/>
  <c r="E108" i="6"/>
  <c r="E110" i="6"/>
  <c r="E111" i="6"/>
  <c r="E112" i="6"/>
  <c r="E113" i="6"/>
  <c r="E114" i="6"/>
  <c r="E115" i="6"/>
  <c r="F84" i="6"/>
  <c r="G84" i="6"/>
  <c r="H84" i="6"/>
  <c r="I84" i="6"/>
  <c r="J84" i="6"/>
  <c r="K84" i="6"/>
  <c r="L84" i="6"/>
  <c r="F85" i="6"/>
  <c r="G85" i="6"/>
  <c r="H85" i="6"/>
  <c r="I85" i="6"/>
  <c r="J85" i="6"/>
  <c r="K85" i="6"/>
  <c r="L85" i="6"/>
  <c r="F86" i="6"/>
  <c r="G86" i="6"/>
  <c r="H86" i="6"/>
  <c r="I86" i="6"/>
  <c r="J86" i="6"/>
  <c r="K86" i="6"/>
  <c r="L86" i="6"/>
  <c r="F87" i="6"/>
  <c r="G87" i="6"/>
  <c r="H87" i="6"/>
  <c r="I87" i="6"/>
  <c r="J87" i="6"/>
  <c r="K87" i="6"/>
  <c r="L87" i="6"/>
  <c r="F88" i="6"/>
  <c r="G88" i="6"/>
  <c r="H88" i="6"/>
  <c r="I88" i="6"/>
  <c r="J88" i="6"/>
  <c r="K88" i="6"/>
  <c r="L88" i="6"/>
  <c r="F89" i="6"/>
  <c r="G89" i="6"/>
  <c r="H89" i="6"/>
  <c r="I89" i="6"/>
  <c r="J89" i="6"/>
  <c r="K89" i="6"/>
  <c r="L89" i="6"/>
  <c r="H90" i="6"/>
  <c r="L90" i="6"/>
  <c r="F92" i="6"/>
  <c r="G92" i="6"/>
  <c r="H92" i="6"/>
  <c r="I92" i="6"/>
  <c r="J92" i="6"/>
  <c r="K92" i="6"/>
  <c r="L92" i="6"/>
  <c r="F94" i="6"/>
  <c r="G94" i="6"/>
  <c r="H94" i="6"/>
  <c r="I94" i="6"/>
  <c r="J94" i="6"/>
  <c r="K94" i="6"/>
  <c r="L94" i="6"/>
  <c r="F95" i="6"/>
  <c r="G95" i="6"/>
  <c r="H95" i="6"/>
  <c r="I95" i="6"/>
  <c r="J95" i="6"/>
  <c r="K95" i="6"/>
  <c r="L95" i="6"/>
  <c r="F96" i="6"/>
  <c r="G96" i="6"/>
  <c r="H96" i="6"/>
  <c r="I96" i="6"/>
  <c r="J96" i="6"/>
  <c r="K96" i="6"/>
  <c r="L96" i="6"/>
  <c r="F97" i="6"/>
  <c r="G97" i="6"/>
  <c r="H97" i="6"/>
  <c r="I97" i="6"/>
  <c r="J97" i="6"/>
  <c r="K97" i="6"/>
  <c r="L97" i="6"/>
  <c r="E96" i="6"/>
  <c r="E97" i="6"/>
  <c r="E84" i="6"/>
  <c r="E85" i="6"/>
  <c r="E86" i="6"/>
  <c r="E87" i="6"/>
  <c r="E88" i="6"/>
  <c r="E89" i="6"/>
  <c r="E92" i="6"/>
  <c r="E94" i="6"/>
  <c r="E95" i="6"/>
  <c r="F66" i="6"/>
  <c r="G66" i="6"/>
  <c r="H66" i="6"/>
  <c r="I66" i="6"/>
  <c r="J66" i="6"/>
  <c r="K66" i="6"/>
  <c r="L66" i="6"/>
  <c r="M66" i="6"/>
  <c r="N66" i="6"/>
  <c r="O66" i="6"/>
  <c r="P66" i="6"/>
  <c r="F67" i="6"/>
  <c r="G67" i="6"/>
  <c r="H67" i="6"/>
  <c r="I67" i="6"/>
  <c r="J67" i="6"/>
  <c r="K67" i="6"/>
  <c r="L67" i="6"/>
  <c r="M67" i="6"/>
  <c r="N67" i="6"/>
  <c r="O67" i="6"/>
  <c r="P67" i="6"/>
  <c r="F68" i="6"/>
  <c r="G68" i="6"/>
  <c r="H68" i="6"/>
  <c r="I68" i="6"/>
  <c r="J68" i="6"/>
  <c r="K68" i="6"/>
  <c r="L68" i="6"/>
  <c r="M68" i="6"/>
  <c r="N68" i="6"/>
  <c r="O68" i="6"/>
  <c r="P68" i="6"/>
  <c r="F69" i="6"/>
  <c r="G69" i="6"/>
  <c r="H69" i="6"/>
  <c r="I69" i="6"/>
  <c r="J69" i="6"/>
  <c r="K69" i="6"/>
  <c r="L69" i="6"/>
  <c r="M69" i="6"/>
  <c r="N69" i="6"/>
  <c r="O69" i="6"/>
  <c r="P69" i="6"/>
  <c r="F70" i="6"/>
  <c r="G70" i="6"/>
  <c r="H70" i="6"/>
  <c r="I70" i="6"/>
  <c r="J70" i="6"/>
  <c r="K70" i="6"/>
  <c r="L70" i="6"/>
  <c r="M70" i="6"/>
  <c r="N70" i="6"/>
  <c r="O70" i="6"/>
  <c r="P70" i="6"/>
  <c r="F71" i="6"/>
  <c r="G71" i="6"/>
  <c r="H71" i="6"/>
  <c r="I71" i="6"/>
  <c r="J71" i="6"/>
  <c r="K71" i="6"/>
  <c r="L71" i="6"/>
  <c r="M71" i="6"/>
  <c r="N71" i="6"/>
  <c r="O71" i="6"/>
  <c r="P71" i="6"/>
  <c r="F72" i="6"/>
  <c r="G72" i="6"/>
  <c r="H72" i="6"/>
  <c r="I72" i="6"/>
  <c r="J72" i="6"/>
  <c r="K72" i="6"/>
  <c r="L72" i="6"/>
  <c r="M72" i="6"/>
  <c r="N72" i="6"/>
  <c r="O72" i="6"/>
  <c r="P72" i="6"/>
  <c r="F73" i="6"/>
  <c r="G73" i="6"/>
  <c r="H73" i="6"/>
  <c r="I73" i="6"/>
  <c r="J73" i="6"/>
  <c r="K73" i="6"/>
  <c r="L73" i="6"/>
  <c r="M73" i="6"/>
  <c r="N73" i="6"/>
  <c r="O73" i="6"/>
  <c r="P73" i="6"/>
  <c r="F74" i="6"/>
  <c r="G74" i="6"/>
  <c r="H74" i="6"/>
  <c r="I74" i="6"/>
  <c r="J74" i="6"/>
  <c r="K74" i="6"/>
  <c r="L74" i="6"/>
  <c r="M74" i="6"/>
  <c r="N74" i="6"/>
  <c r="O74" i="6"/>
  <c r="P74" i="6"/>
  <c r="F75" i="6"/>
  <c r="G75" i="6"/>
  <c r="H75" i="6"/>
  <c r="I75" i="6"/>
  <c r="J75" i="6"/>
  <c r="K75" i="6"/>
  <c r="L75" i="6"/>
  <c r="M75" i="6"/>
  <c r="N75" i="6"/>
  <c r="O75" i="6"/>
  <c r="P75" i="6"/>
  <c r="F76" i="6"/>
  <c r="G76" i="6"/>
  <c r="H76" i="6"/>
  <c r="I76" i="6"/>
  <c r="J76" i="6"/>
  <c r="K76" i="6"/>
  <c r="L76" i="6"/>
  <c r="M76" i="6"/>
  <c r="N76" i="6"/>
  <c r="O76" i="6"/>
  <c r="P76" i="6"/>
  <c r="F77" i="6"/>
  <c r="G77" i="6"/>
  <c r="H77" i="6"/>
  <c r="I77" i="6"/>
  <c r="J77" i="6"/>
  <c r="K77" i="6"/>
  <c r="L77" i="6"/>
  <c r="M77" i="6"/>
  <c r="N77" i="6"/>
  <c r="O77" i="6"/>
  <c r="P77" i="6"/>
  <c r="E66" i="6"/>
  <c r="E67" i="6"/>
  <c r="E68" i="6"/>
  <c r="E69" i="6"/>
  <c r="E70" i="6"/>
  <c r="E71" i="6"/>
  <c r="E72" i="6"/>
  <c r="E73" i="6"/>
  <c r="E74" i="6"/>
  <c r="E75" i="6"/>
  <c r="E76" i="6"/>
  <c r="E77" i="6"/>
  <c r="F48" i="6"/>
  <c r="G48" i="6"/>
  <c r="H48" i="6"/>
  <c r="I48" i="6"/>
  <c r="J48" i="6"/>
  <c r="K48" i="6"/>
  <c r="L48" i="6"/>
  <c r="M48" i="6"/>
  <c r="N48" i="6"/>
  <c r="O48" i="6"/>
  <c r="P48" i="6"/>
  <c r="F49" i="6"/>
  <c r="G49" i="6"/>
  <c r="H49" i="6"/>
  <c r="I49" i="6"/>
  <c r="J49" i="6"/>
  <c r="K49" i="6"/>
  <c r="L49" i="6"/>
  <c r="M49" i="6"/>
  <c r="N49" i="6"/>
  <c r="O49" i="6"/>
  <c r="P49" i="6"/>
  <c r="F50" i="6"/>
  <c r="G50" i="6"/>
  <c r="H50" i="6"/>
  <c r="I50" i="6"/>
  <c r="J50" i="6"/>
  <c r="K50" i="6"/>
  <c r="L50" i="6"/>
  <c r="M50" i="6"/>
  <c r="N50" i="6"/>
  <c r="O50" i="6"/>
  <c r="P50" i="6"/>
  <c r="F51" i="6"/>
  <c r="G51" i="6"/>
  <c r="H51" i="6"/>
  <c r="I51" i="6"/>
  <c r="J51" i="6"/>
  <c r="K51" i="6"/>
  <c r="L51" i="6"/>
  <c r="M51" i="6"/>
  <c r="N51" i="6"/>
  <c r="O51" i="6"/>
  <c r="P51" i="6"/>
  <c r="F52" i="6"/>
  <c r="G52" i="6"/>
  <c r="H52" i="6"/>
  <c r="I52" i="6"/>
  <c r="J52" i="6"/>
  <c r="K52" i="6"/>
  <c r="L52" i="6"/>
  <c r="M52" i="6"/>
  <c r="N52" i="6"/>
  <c r="O52" i="6"/>
  <c r="P52" i="6"/>
  <c r="F53" i="6"/>
  <c r="G53" i="6"/>
  <c r="H53" i="6"/>
  <c r="I53" i="6"/>
  <c r="J53" i="6"/>
  <c r="K53" i="6"/>
  <c r="L53" i="6"/>
  <c r="M53" i="6"/>
  <c r="N53" i="6"/>
  <c r="O53" i="6"/>
  <c r="P53" i="6"/>
  <c r="F54" i="6"/>
  <c r="G54" i="6"/>
  <c r="H54" i="6"/>
  <c r="I54" i="6"/>
  <c r="J54" i="6"/>
  <c r="K54" i="6"/>
  <c r="L54" i="6"/>
  <c r="M54" i="6"/>
  <c r="N54" i="6"/>
  <c r="O54" i="6"/>
  <c r="P54" i="6"/>
  <c r="F55" i="6"/>
  <c r="G55" i="6"/>
  <c r="H55" i="6"/>
  <c r="I55" i="6"/>
  <c r="J55" i="6"/>
  <c r="K55" i="6"/>
  <c r="L55" i="6"/>
  <c r="M55" i="6"/>
  <c r="N55" i="6"/>
  <c r="O55" i="6"/>
  <c r="P55" i="6"/>
  <c r="F56" i="6"/>
  <c r="G56" i="6"/>
  <c r="H56" i="6"/>
  <c r="I56" i="6"/>
  <c r="J56" i="6"/>
  <c r="K56" i="6"/>
  <c r="L56" i="6"/>
  <c r="M56" i="6"/>
  <c r="N56" i="6"/>
  <c r="O56" i="6"/>
  <c r="P56" i="6"/>
  <c r="F57" i="6"/>
  <c r="G57" i="6"/>
  <c r="H57" i="6"/>
  <c r="I57" i="6"/>
  <c r="J57" i="6"/>
  <c r="K57" i="6"/>
  <c r="L57" i="6"/>
  <c r="M57" i="6"/>
  <c r="N57" i="6"/>
  <c r="O57" i="6"/>
  <c r="P57" i="6"/>
  <c r="F58" i="6"/>
  <c r="G58" i="6"/>
  <c r="H58" i="6"/>
  <c r="I58" i="6"/>
  <c r="J58" i="6"/>
  <c r="K58" i="6"/>
  <c r="L58" i="6"/>
  <c r="M58" i="6"/>
  <c r="N58" i="6"/>
  <c r="O58" i="6"/>
  <c r="P58" i="6"/>
  <c r="F59" i="6"/>
  <c r="G59" i="6"/>
  <c r="H59" i="6"/>
  <c r="I59" i="6"/>
  <c r="J59" i="6"/>
  <c r="K59" i="6"/>
  <c r="L59" i="6"/>
  <c r="M59" i="6"/>
  <c r="N59" i="6"/>
  <c r="O59" i="6"/>
  <c r="P59" i="6"/>
  <c r="E48" i="6"/>
  <c r="E49" i="6"/>
  <c r="E50" i="6"/>
  <c r="E51" i="6"/>
  <c r="E52" i="6"/>
  <c r="E53" i="6"/>
  <c r="E54" i="6"/>
  <c r="E55" i="6"/>
  <c r="E56" i="6"/>
  <c r="E57" i="6"/>
  <c r="E58" i="6"/>
  <c r="E59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E28" i="6"/>
  <c r="E29" i="6"/>
  <c r="E30" i="6"/>
  <c r="E31" i="6"/>
  <c r="E32" i="6"/>
  <c r="E33" i="6"/>
  <c r="E34" i="6"/>
  <c r="E36" i="6"/>
  <c r="E38" i="6"/>
  <c r="E39" i="6"/>
  <c r="E40" i="6"/>
  <c r="E41" i="6"/>
  <c r="E63" i="4"/>
  <c r="F63" i="4"/>
  <c r="G63" i="4"/>
  <c r="H63" i="4"/>
  <c r="I63" i="4"/>
  <c r="J63" i="4"/>
  <c r="E64" i="4"/>
  <c r="F64" i="4"/>
  <c r="G64" i="4"/>
  <c r="H64" i="4"/>
  <c r="I64" i="4"/>
  <c r="J64" i="4"/>
  <c r="E65" i="4"/>
  <c r="F65" i="4"/>
  <c r="G65" i="4"/>
  <c r="H65" i="4"/>
  <c r="I65" i="4"/>
  <c r="J65" i="4"/>
  <c r="E66" i="4"/>
  <c r="F66" i="4"/>
  <c r="G66" i="4"/>
  <c r="H66" i="4"/>
  <c r="I66" i="4"/>
  <c r="J66" i="4"/>
  <c r="E67" i="4"/>
  <c r="F67" i="4"/>
  <c r="G67" i="4"/>
  <c r="H67" i="4"/>
  <c r="I67" i="4"/>
  <c r="J67" i="4"/>
  <c r="E68" i="4"/>
  <c r="F68" i="4"/>
  <c r="G68" i="4"/>
  <c r="H68" i="4"/>
  <c r="I68" i="4"/>
  <c r="J68" i="4"/>
  <c r="E69" i="4"/>
  <c r="F69" i="4"/>
  <c r="G69" i="4"/>
  <c r="H69" i="4"/>
  <c r="I69" i="4"/>
  <c r="J69" i="4"/>
  <c r="E70" i="4"/>
  <c r="F70" i="4"/>
  <c r="G70" i="4"/>
  <c r="H70" i="4"/>
  <c r="I70" i="4"/>
  <c r="J70" i="4"/>
  <c r="E71" i="4"/>
  <c r="F71" i="4"/>
  <c r="G71" i="4"/>
  <c r="H71" i="4"/>
  <c r="I71" i="4"/>
  <c r="J71" i="4"/>
  <c r="E72" i="4"/>
  <c r="F72" i="4"/>
  <c r="G72" i="4"/>
  <c r="H72" i="4"/>
  <c r="I72" i="4"/>
  <c r="J72" i="4"/>
  <c r="E73" i="4"/>
  <c r="F73" i="4"/>
  <c r="G73" i="4"/>
  <c r="H73" i="4"/>
  <c r="I73" i="4"/>
  <c r="J73" i="4"/>
  <c r="F62" i="4"/>
  <c r="G62" i="4"/>
  <c r="H62" i="4"/>
  <c r="I62" i="4"/>
  <c r="J62" i="4"/>
  <c r="E62" i="4"/>
  <c r="E45" i="4"/>
  <c r="F45" i="4"/>
  <c r="G45" i="4"/>
  <c r="H45" i="4"/>
  <c r="I45" i="4"/>
  <c r="J45" i="4"/>
  <c r="K45" i="4"/>
  <c r="L45" i="4"/>
  <c r="M45" i="4"/>
  <c r="E46" i="4"/>
  <c r="F46" i="4"/>
  <c r="G46" i="4"/>
  <c r="H46" i="4"/>
  <c r="I46" i="4"/>
  <c r="J46" i="4"/>
  <c r="K46" i="4"/>
  <c r="L46" i="4"/>
  <c r="M46" i="4"/>
  <c r="E47" i="4"/>
  <c r="F47" i="4"/>
  <c r="G47" i="4"/>
  <c r="H47" i="4"/>
  <c r="I47" i="4"/>
  <c r="J47" i="4"/>
  <c r="K47" i="4"/>
  <c r="L47" i="4"/>
  <c r="M47" i="4"/>
  <c r="E48" i="4"/>
  <c r="F48" i="4"/>
  <c r="G48" i="4"/>
  <c r="H48" i="4"/>
  <c r="I48" i="4"/>
  <c r="J48" i="4"/>
  <c r="K48" i="4"/>
  <c r="L48" i="4"/>
  <c r="M48" i="4"/>
  <c r="E49" i="4"/>
  <c r="F49" i="4"/>
  <c r="G49" i="4"/>
  <c r="H49" i="4"/>
  <c r="I49" i="4"/>
  <c r="J49" i="4"/>
  <c r="K49" i="4"/>
  <c r="L49" i="4"/>
  <c r="M49" i="4"/>
  <c r="E50" i="4"/>
  <c r="F50" i="4"/>
  <c r="G50" i="4"/>
  <c r="H50" i="4"/>
  <c r="I50" i="4"/>
  <c r="J50" i="4"/>
  <c r="K50" i="4"/>
  <c r="L50" i="4"/>
  <c r="M50" i="4"/>
  <c r="E51" i="4"/>
  <c r="F51" i="4"/>
  <c r="G51" i="4"/>
  <c r="H51" i="4"/>
  <c r="I51" i="4"/>
  <c r="J51" i="4"/>
  <c r="K51" i="4"/>
  <c r="L51" i="4"/>
  <c r="M51" i="4"/>
  <c r="E52" i="4"/>
  <c r="F52" i="4"/>
  <c r="G52" i="4"/>
  <c r="H52" i="4"/>
  <c r="I52" i="4"/>
  <c r="J52" i="4"/>
  <c r="K52" i="4"/>
  <c r="L52" i="4"/>
  <c r="M52" i="4"/>
  <c r="E53" i="4"/>
  <c r="F53" i="4"/>
  <c r="G53" i="4"/>
  <c r="H53" i="4"/>
  <c r="I53" i="4"/>
  <c r="J53" i="4"/>
  <c r="K53" i="4"/>
  <c r="L53" i="4"/>
  <c r="M53" i="4"/>
  <c r="E54" i="4"/>
  <c r="F54" i="4"/>
  <c r="G54" i="4"/>
  <c r="H54" i="4"/>
  <c r="I54" i="4"/>
  <c r="J54" i="4"/>
  <c r="K54" i="4"/>
  <c r="L54" i="4"/>
  <c r="M54" i="4"/>
  <c r="E55" i="4"/>
  <c r="F55" i="4"/>
  <c r="G55" i="4"/>
  <c r="H55" i="4"/>
  <c r="I55" i="4"/>
  <c r="J55" i="4"/>
  <c r="K55" i="4"/>
  <c r="L55" i="4"/>
  <c r="M55" i="4"/>
  <c r="F44" i="4"/>
  <c r="G44" i="4"/>
  <c r="H44" i="4"/>
  <c r="I44" i="4"/>
  <c r="J44" i="4"/>
  <c r="K44" i="4"/>
  <c r="L44" i="4"/>
  <c r="M44" i="4"/>
  <c r="E44" i="4"/>
  <c r="F26" i="4"/>
  <c r="G26" i="4"/>
  <c r="H26" i="4"/>
  <c r="I26" i="4"/>
  <c r="J26" i="4"/>
  <c r="K26" i="4"/>
  <c r="L26" i="4"/>
  <c r="M26" i="4"/>
  <c r="N26" i="4"/>
  <c r="O26" i="4"/>
  <c r="P26" i="4"/>
  <c r="F27" i="4"/>
  <c r="G27" i="4"/>
  <c r="H27" i="4"/>
  <c r="I27" i="4"/>
  <c r="J27" i="4"/>
  <c r="K27" i="4"/>
  <c r="L27" i="4"/>
  <c r="M27" i="4"/>
  <c r="N27" i="4"/>
  <c r="O27" i="4"/>
  <c r="P27" i="4"/>
  <c r="F28" i="4"/>
  <c r="G28" i="4"/>
  <c r="H28" i="4"/>
  <c r="I28" i="4"/>
  <c r="J28" i="4"/>
  <c r="K28" i="4"/>
  <c r="L28" i="4"/>
  <c r="M28" i="4"/>
  <c r="N28" i="4"/>
  <c r="O28" i="4"/>
  <c r="P28" i="4"/>
  <c r="F29" i="4"/>
  <c r="G29" i="4"/>
  <c r="H29" i="4"/>
  <c r="I29" i="4"/>
  <c r="J29" i="4"/>
  <c r="K29" i="4"/>
  <c r="L29" i="4"/>
  <c r="M29" i="4"/>
  <c r="N29" i="4"/>
  <c r="O29" i="4"/>
  <c r="P29" i="4"/>
  <c r="F30" i="4"/>
  <c r="G30" i="4"/>
  <c r="H30" i="4"/>
  <c r="I30" i="4"/>
  <c r="J30" i="4"/>
  <c r="K30" i="4"/>
  <c r="L30" i="4"/>
  <c r="M30" i="4"/>
  <c r="N30" i="4"/>
  <c r="O30" i="4"/>
  <c r="P30" i="4"/>
  <c r="F31" i="4"/>
  <c r="G31" i="4"/>
  <c r="H31" i="4"/>
  <c r="I31" i="4"/>
  <c r="J31" i="4"/>
  <c r="K31" i="4"/>
  <c r="L31" i="4"/>
  <c r="M31" i="4"/>
  <c r="N31" i="4"/>
  <c r="O31" i="4"/>
  <c r="P31" i="4"/>
  <c r="F32" i="4"/>
  <c r="G32" i="4"/>
  <c r="H32" i="4"/>
  <c r="I32" i="4"/>
  <c r="J32" i="4"/>
  <c r="K32" i="4"/>
  <c r="L32" i="4"/>
  <c r="M32" i="4"/>
  <c r="N32" i="4"/>
  <c r="O32" i="4"/>
  <c r="P32" i="4"/>
  <c r="F33" i="4"/>
  <c r="G33" i="4"/>
  <c r="H33" i="4"/>
  <c r="I33" i="4"/>
  <c r="J33" i="4"/>
  <c r="K33" i="4"/>
  <c r="L33" i="4"/>
  <c r="M33" i="4"/>
  <c r="N33" i="4"/>
  <c r="O33" i="4"/>
  <c r="P33" i="4"/>
  <c r="F34" i="4"/>
  <c r="G34" i="4"/>
  <c r="H34" i="4"/>
  <c r="I34" i="4"/>
  <c r="J34" i="4"/>
  <c r="K34" i="4"/>
  <c r="L34" i="4"/>
  <c r="M34" i="4"/>
  <c r="N34" i="4"/>
  <c r="O34" i="4"/>
  <c r="P34" i="4"/>
  <c r="F35" i="4"/>
  <c r="G35" i="4"/>
  <c r="H35" i="4"/>
  <c r="I35" i="4"/>
  <c r="J35" i="4"/>
  <c r="K35" i="4"/>
  <c r="L35" i="4"/>
  <c r="M35" i="4"/>
  <c r="N35" i="4"/>
  <c r="O35" i="4"/>
  <c r="P35" i="4"/>
  <c r="F36" i="4"/>
  <c r="G36" i="4"/>
  <c r="H36" i="4"/>
  <c r="I36" i="4"/>
  <c r="J36" i="4"/>
  <c r="K36" i="4"/>
  <c r="L36" i="4"/>
  <c r="M36" i="4"/>
  <c r="N36" i="4"/>
  <c r="O36" i="4"/>
  <c r="P36" i="4"/>
  <c r="F37" i="4"/>
  <c r="G37" i="4"/>
  <c r="H37" i="4"/>
  <c r="I37" i="4"/>
  <c r="J37" i="4"/>
  <c r="K37" i="4"/>
  <c r="L37" i="4"/>
  <c r="M37" i="4"/>
  <c r="N37" i="4"/>
  <c r="O37" i="4"/>
  <c r="P37" i="4"/>
  <c r="E27" i="4"/>
  <c r="E28" i="4"/>
  <c r="E29" i="4"/>
  <c r="E30" i="4"/>
  <c r="E31" i="4"/>
  <c r="E32" i="4"/>
  <c r="E33" i="4"/>
  <c r="E34" i="4"/>
  <c r="E35" i="4"/>
  <c r="E36" i="4"/>
  <c r="E37" i="4"/>
  <c r="E26" i="4"/>
  <c r="F8" i="4"/>
  <c r="G8" i="4"/>
  <c r="H8" i="4"/>
  <c r="I8" i="4"/>
  <c r="J8" i="4"/>
  <c r="K8" i="4"/>
  <c r="L8" i="4"/>
  <c r="F9" i="4"/>
  <c r="G9" i="4"/>
  <c r="H9" i="4"/>
  <c r="I9" i="4"/>
  <c r="J9" i="4"/>
  <c r="K9" i="4"/>
  <c r="L9" i="4"/>
  <c r="F10" i="4"/>
  <c r="G10" i="4"/>
  <c r="H10" i="4"/>
  <c r="I10" i="4"/>
  <c r="J10" i="4"/>
  <c r="K10" i="4"/>
  <c r="L10" i="4"/>
  <c r="F11" i="4"/>
  <c r="G11" i="4"/>
  <c r="H11" i="4"/>
  <c r="I11" i="4"/>
  <c r="J11" i="4"/>
  <c r="K11" i="4"/>
  <c r="L11" i="4"/>
  <c r="F12" i="4"/>
  <c r="G12" i="4"/>
  <c r="H12" i="4"/>
  <c r="I12" i="4"/>
  <c r="J12" i="4"/>
  <c r="K12" i="4"/>
  <c r="L12" i="4"/>
  <c r="F13" i="4"/>
  <c r="G13" i="4"/>
  <c r="H13" i="4"/>
  <c r="I13" i="4"/>
  <c r="J13" i="4"/>
  <c r="K13" i="4"/>
  <c r="L13" i="4"/>
  <c r="F14" i="4"/>
  <c r="G14" i="4"/>
  <c r="H14" i="4"/>
  <c r="I14" i="4"/>
  <c r="J14" i="4"/>
  <c r="K14" i="4"/>
  <c r="L14" i="4"/>
  <c r="F15" i="4"/>
  <c r="G15" i="4"/>
  <c r="H15" i="4"/>
  <c r="I15" i="4"/>
  <c r="J15" i="4"/>
  <c r="K15" i="4"/>
  <c r="L15" i="4"/>
  <c r="F16" i="4"/>
  <c r="G16" i="4"/>
  <c r="H16" i="4"/>
  <c r="I16" i="4"/>
  <c r="J16" i="4"/>
  <c r="K16" i="4"/>
  <c r="L16" i="4"/>
  <c r="F17" i="4"/>
  <c r="G17" i="4"/>
  <c r="H17" i="4"/>
  <c r="I17" i="4"/>
  <c r="J17" i="4"/>
  <c r="K17" i="4"/>
  <c r="L17" i="4"/>
  <c r="F18" i="4"/>
  <c r="G18" i="4"/>
  <c r="H18" i="4"/>
  <c r="I18" i="4"/>
  <c r="J18" i="4"/>
  <c r="K18" i="4"/>
  <c r="L18" i="4"/>
  <c r="F19" i="4"/>
  <c r="G19" i="4"/>
  <c r="H19" i="4"/>
  <c r="I19" i="4"/>
  <c r="J19" i="4"/>
  <c r="K19" i="4"/>
  <c r="L19" i="4"/>
  <c r="E9" i="4"/>
  <c r="E10" i="4"/>
  <c r="E11" i="4"/>
  <c r="E12" i="4"/>
  <c r="E13" i="4"/>
  <c r="E14" i="4"/>
  <c r="E15" i="4"/>
  <c r="E16" i="4"/>
  <c r="E17" i="4"/>
  <c r="E18" i="4"/>
  <c r="E19" i="4"/>
  <c r="E8" i="4"/>
  <c r="D19" i="4"/>
  <c r="D20" i="4"/>
  <c r="D17" i="4"/>
  <c r="D18" i="4"/>
  <c r="D15" i="4"/>
  <c r="D16" i="4"/>
  <c r="D6" i="4"/>
  <c r="E6" i="4"/>
  <c r="F6" i="4"/>
  <c r="G6" i="4"/>
  <c r="H6" i="4"/>
  <c r="I6" i="4"/>
  <c r="J6" i="4"/>
  <c r="K6" i="4"/>
  <c r="L6" i="4"/>
  <c r="D7" i="4"/>
  <c r="E7" i="4"/>
  <c r="F7" i="4"/>
  <c r="G7" i="4"/>
  <c r="H7" i="4"/>
  <c r="I7" i="4"/>
  <c r="J7" i="4"/>
  <c r="K7" i="4"/>
  <c r="L7" i="4"/>
  <c r="D8" i="4"/>
  <c r="D9" i="4"/>
  <c r="D10" i="4"/>
  <c r="D11" i="4"/>
  <c r="D12" i="4"/>
  <c r="D13" i="4"/>
  <c r="D14" i="4"/>
  <c r="E5" i="4"/>
  <c r="F5" i="4"/>
  <c r="G5" i="4"/>
  <c r="H5" i="4"/>
  <c r="I5" i="4"/>
  <c r="J5" i="4"/>
  <c r="K5" i="4"/>
  <c r="L5" i="4"/>
  <c r="D5" i="4"/>
</calcChain>
</file>

<file path=xl/sharedStrings.xml><?xml version="1.0" encoding="utf-8"?>
<sst xmlns="http://schemas.openxmlformats.org/spreadsheetml/2006/main" count="3919" uniqueCount="2237">
  <si>
    <t>problem</t>
  </si>
  <si>
    <t>init true</t>
  </si>
  <si>
    <t>init false</t>
  </si>
  <si>
    <t>unix1</t>
  </si>
  <si>
    <t>unix2</t>
  </si>
  <si>
    <t>unix3</t>
  </si>
  <si>
    <t>unix4</t>
  </si>
  <si>
    <t>blocks3</t>
  </si>
  <si>
    <t>blocks7</t>
  </si>
  <si>
    <t>clog5</t>
  </si>
  <si>
    <t>clog7</t>
  </si>
  <si>
    <t>cloghuge</t>
  </si>
  <si>
    <t>wumpus05</t>
  </si>
  <si>
    <t>wumpus10</t>
  </si>
  <si>
    <t>wumpus15</t>
  </si>
  <si>
    <t>wumpus20</t>
  </si>
  <si>
    <t>wumpus25</t>
  </si>
  <si>
    <t>doors5</t>
  </si>
  <si>
    <t>doors7</t>
  </si>
  <si>
    <t>doors9</t>
  </si>
  <si>
    <t>doors11</t>
  </si>
  <si>
    <t>doors13</t>
  </si>
  <si>
    <t>doors15</t>
  </si>
  <si>
    <t>colorballs2-2</t>
  </si>
  <si>
    <t>collorballs4-4</t>
  </si>
  <si>
    <t>collorballs5-1</t>
  </si>
  <si>
    <t>collorballs8-4</t>
  </si>
  <si>
    <t>collorballs9-3</t>
  </si>
  <si>
    <t>collorballs11-1</t>
  </si>
  <si>
    <t>collorballs11-2</t>
  </si>
  <si>
    <t>FP</t>
  </si>
  <si>
    <t>Problem</t>
  </si>
  <si>
    <t>Lazy</t>
  </si>
  <si>
    <t>Optimistic</t>
  </si>
  <si>
    <t>Pessimistic</t>
  </si>
  <si>
    <t>doors-11</t>
  </si>
  <si>
    <t>doors-13</t>
  </si>
  <si>
    <t>doors-15</t>
  </si>
  <si>
    <t>colorballs-9-3</t>
  </si>
  <si>
    <t>colorballs-11-1</t>
  </si>
  <si>
    <t>colorballs-11-2</t>
  </si>
  <si>
    <t>MakeTrue</t>
  </si>
  <si>
    <t>FN</t>
  </si>
  <si>
    <t>FP - FN</t>
  </si>
  <si>
    <t>Lazy - Lazy</t>
  </si>
  <si>
    <t>Lazy - MakeTrue</t>
  </si>
  <si>
    <t>Optimisitc</t>
  </si>
  <si>
    <t>Actions</t>
  </si>
  <si>
    <t>Time</t>
  </si>
  <si>
    <t>% Success</t>
  </si>
  <si>
    <t>93.90 ± 24.13</t>
  </si>
  <si>
    <t>135.08 ± 31.46</t>
  </si>
  <si>
    <t>73.92 ± 13.91</t>
  </si>
  <si>
    <t>1.01 ± 0.38</t>
  </si>
  <si>
    <t>2.96 ± 0.84</t>
  </si>
  <si>
    <t>0.78 ± 0.21</t>
  </si>
  <si>
    <t>108.90 ± 22.01</t>
  </si>
  <si>
    <t>145.84 ± 28.70</t>
  </si>
  <si>
    <t>84.96 ± 17.95</t>
  </si>
  <si>
    <t>1.80 ± 0.61</t>
  </si>
  <si>
    <t>4.80 ± 1.14</t>
  </si>
  <si>
    <t>1.38 ± 0.40</t>
  </si>
  <si>
    <t>178.40 ± 70.33</t>
  </si>
  <si>
    <t>186.46 ± 72.11</t>
  </si>
  <si>
    <t>45.72 ± 21.59</t>
  </si>
  <si>
    <t>4.55 ± 2.15</t>
  </si>
  <si>
    <t>6.95 ± 2.83</t>
  </si>
  <si>
    <t>0.45 ± 0.21</t>
  </si>
  <si>
    <t>1.64 ± 0.58</t>
  </si>
  <si>
    <t>5.92 ± 4.06</t>
  </si>
  <si>
    <t>5.08 ± 3.65</t>
  </si>
  <si>
    <t>65.84 ± 20.49</t>
  </si>
  <si>
    <t>112.70 ± 66.88</t>
  </si>
  <si>
    <t>111.70 ± 66.88</t>
  </si>
  <si>
    <t>4.07 ± 1.11</t>
  </si>
  <si>
    <t>15.39 ± 5.19</t>
  </si>
  <si>
    <t>5.19 ± 1.59</t>
  </si>
  <si>
    <t>132.22 ± 26.81</t>
  </si>
  <si>
    <t>239.30 ± 56.11</t>
  </si>
  <si>
    <t>164.58 ± 34.05</t>
  </si>
  <si>
    <t>3.18 ± 0.85</t>
  </si>
  <si>
    <t>20.87 ± 4.12</t>
  </si>
  <si>
    <t>11.25 ± 2.02</t>
  </si>
  <si>
    <t>66.68 ± 9.31</t>
  </si>
  <si>
    <t>155.08 ± 20.69</t>
  </si>
  <si>
    <t>139.10 ± 13.01</t>
  </si>
  <si>
    <t>64.68 ± 23.04</t>
  </si>
  <si>
    <t>73.28 ± 26.07</t>
  </si>
  <si>
    <t>67.57 ± 29.09</t>
  </si>
  <si>
    <t>704.66 ± 202.86</t>
  </si>
  <si>
    <t>759.36 ± 219.35</t>
  </si>
  <si>
    <t>711.46 ± 248.34</t>
  </si>
  <si>
    <t>91.94 ± 53.42</t>
  </si>
  <si>
    <t>126.75 ± 50.29</t>
  </si>
  <si>
    <t>88.90 ± 50.97</t>
  </si>
  <si>
    <t>446.38 ± 247.33</t>
  </si>
  <si>
    <t>541.48 ± 226.98</t>
  </si>
  <si>
    <t>411.86 ± 232.55</t>
  </si>
  <si>
    <t>16.24 ± 5.89</t>
  </si>
  <si>
    <t>44.08 ± 40.79</t>
  </si>
  <si>
    <t>34.90 ± 34.95</t>
  </si>
  <si>
    <t>127.96 ± 41.49</t>
  </si>
  <si>
    <t>178.48 ± 139.71</t>
  </si>
  <si>
    <t>177.48 ± 139.71</t>
  </si>
  <si>
    <t>211.08 ± 97.20</t>
  </si>
  <si>
    <t>223.09 ± 102.63</t>
  </si>
  <si>
    <t>205.88 ± 99.52</t>
  </si>
  <si>
    <t>914.72 ± 368.33</t>
  </si>
  <si>
    <t>892.94 ± 396.07</t>
  </si>
  <si>
    <t>822.10 ± 358.28</t>
  </si>
  <si>
    <t>7.48 ± 3.75</t>
  </si>
  <si>
    <t>278.06 ± 131.96</t>
  </si>
  <si>
    <t>170.35 ± 94.60</t>
  </si>
  <si>
    <t>151.16 ± 71.90</t>
  </si>
  <si>
    <t>696.46 ± 276.85</t>
  </si>
  <si>
    <t>677.72 ± 250.11</t>
  </si>
  <si>
    <t>0.14 ± 0.06</t>
  </si>
  <si>
    <t>0.39 ± 0.05</t>
  </si>
  <si>
    <t>11.24 ± 1.49</t>
  </si>
  <si>
    <t>23.96 ± 1.73</t>
  </si>
  <si>
    <t>27.68 ± 4.95</t>
  </si>
  <si>
    <t>0.22 ± 0.17</t>
  </si>
  <si>
    <t>0.21 ± 0.12</t>
  </si>
  <si>
    <t>0.55 ± 0.09</t>
  </si>
  <si>
    <t>0.63 ± 0.18</t>
  </si>
  <si>
    <t>9.46 ± 1.82</t>
  </si>
  <si>
    <t>9.48 ± 1.90</t>
  </si>
  <si>
    <t>23.88 ± 1.84</t>
  </si>
  <si>
    <t>28.34 ± 4.82</t>
  </si>
  <si>
    <t>39.65 ± 31.83</t>
  </si>
  <si>
    <t>61.30 ± 62.78</t>
  </si>
  <si>
    <t>193.32 ± 73.41</t>
  </si>
  <si>
    <t>176.48 ± 71.47</t>
  </si>
  <si>
    <t>1.02 ± 0.97</t>
  </si>
  <si>
    <t>1.05 ± 0.77</t>
  </si>
  <si>
    <t>3.82 ± 2.67</t>
  </si>
  <si>
    <t>3.74 ± 3.01</t>
  </si>
  <si>
    <t>45.37 ± 14.10</t>
  </si>
  <si>
    <t>45.68 ± 14.24</t>
  </si>
  <si>
    <t>99.44 ± 66.58</t>
  </si>
  <si>
    <t>98.44 ± 66.58</t>
  </si>
  <si>
    <t>3.66 ± 1.75</t>
  </si>
  <si>
    <t>5.54 ± 2.06</t>
  </si>
  <si>
    <t>1.24 ± 1.87</t>
  </si>
  <si>
    <t>0.81 ± 1.36</t>
  </si>
  <si>
    <t>0.80 ± 0.14</t>
  </si>
  <si>
    <t>2.25 ± 0.64</t>
  </si>
  <si>
    <t>3.80 ± 0.74</t>
  </si>
  <si>
    <t>1.43 ± 0.45</t>
  </si>
  <si>
    <t>57.50 ± 7.50</t>
  </si>
  <si>
    <t>104.50 ± 21.32</t>
  </si>
  <si>
    <t>144.96 ± 26.76</t>
  </si>
  <si>
    <t>107.62 ± 23.35</t>
  </si>
  <si>
    <t>0.86 ± 0.30</t>
  </si>
  <si>
    <t>1.21 ± 0.37</t>
  </si>
  <si>
    <t>2.11 ± 0.47</t>
  </si>
  <si>
    <t>0.74 ± 0.21</t>
  </si>
  <si>
    <t>66.00 ± 16.88</t>
  </si>
  <si>
    <t>97.12 ± 23.34</t>
  </si>
  <si>
    <t>138.92 ± 27.72</t>
  </si>
  <si>
    <t>94.34 ± 18.77</t>
  </si>
  <si>
    <t>5.14 ± 0.49</t>
  </si>
  <si>
    <t>6.16 ± 2.23</t>
  </si>
  <si>
    <t>11.32 ± 3.54</t>
  </si>
  <si>
    <t>3.75 ± 1.07</t>
  </si>
  <si>
    <t>150.50 ± 22.50</t>
  </si>
  <si>
    <t>177.50 ± 45.41</t>
  </si>
  <si>
    <t>251.20 ± 47.49</t>
  </si>
  <si>
    <t>164.50 ± 31.83</t>
  </si>
  <si>
    <t>9.99 ± 28.62</t>
  </si>
  <si>
    <t>9.09 ± 15.16</t>
  </si>
  <si>
    <t>32.06 ± 26.92</t>
  </si>
  <si>
    <t>33.03 ± 33.41</t>
  </si>
  <si>
    <t>72.38 ± 59.86</t>
  </si>
  <si>
    <t>75.10 ± 62.19</t>
  </si>
  <si>
    <t>196.00 ± 153.45</t>
  </si>
  <si>
    <t>195.00 ± 153.45</t>
  </si>
  <si>
    <t>60.57 ± 30.70</t>
  </si>
  <si>
    <t>55.72 ± 17.82</t>
  </si>
  <si>
    <t>59.28 ± 22.16</t>
  </si>
  <si>
    <t>53.93 ± 21.16</t>
  </si>
  <si>
    <t>758.64 ± 227.02</t>
  </si>
  <si>
    <t>736.46 ± 183.48</t>
  </si>
  <si>
    <t>694.56 ± 201.67</t>
  </si>
  <si>
    <t>770.56 ± 228.24</t>
  </si>
  <si>
    <t>2.73 ± 1.02</t>
  </si>
  <si>
    <t>10.48 ± 8.63</t>
  </si>
  <si>
    <t>24.72 ± 4.16</t>
  </si>
  <si>
    <t>14.45 ± 3.40</t>
  </si>
  <si>
    <t>61.64 ± 7.65</t>
  </si>
  <si>
    <t>93.90 ± 37.72</t>
  </si>
  <si>
    <t>143.52 ± 15.07</t>
  </si>
  <si>
    <t>74.69 ± 40.16</t>
  </si>
  <si>
    <t>77.44 ± 43.31</t>
  </si>
  <si>
    <t>84.38 ± 44.97</t>
  </si>
  <si>
    <t>72.59 ± 41.06</t>
  </si>
  <si>
    <t>473.39 ± 234.21</t>
  </si>
  <si>
    <t>475.96 ± 250.24</t>
  </si>
  <si>
    <t>500.48 ± 280.64</t>
  </si>
  <si>
    <t>454.60 ± 252.97</t>
  </si>
  <si>
    <t>60.32 ± 101.77</t>
  </si>
  <si>
    <t>47.74 ± 77.44</t>
  </si>
  <si>
    <t>231.90 ± 102.39</t>
  </si>
  <si>
    <t>171.86 ± 100.65</t>
  </si>
  <si>
    <t>216.18 ± 275.85</t>
  </si>
  <si>
    <t>226.20 ± 290.39</t>
  </si>
  <si>
    <t>691.34 ± 284.66</t>
  </si>
  <si>
    <t>690.78 ± 280.29</t>
  </si>
  <si>
    <t>FB</t>
  </si>
  <si>
    <t>0.29 ± 0.17</t>
  </si>
  <si>
    <t>0.27 ± 0.13</t>
  </si>
  <si>
    <t>1.42 ± 5.69</t>
  </si>
  <si>
    <t>11.79 ± 2.61</t>
  </si>
  <si>
    <t>11.75 ± 2.68</t>
  </si>
  <si>
    <t>28.42 ± 4.72</t>
  </si>
  <si>
    <t>1.54 ± 0.70</t>
  </si>
  <si>
    <t>2.04 ± 0.63</t>
  </si>
  <si>
    <t>1.42 ± 0.39</t>
  </si>
  <si>
    <t>79.83 ± 14.38</t>
  </si>
  <si>
    <t>104.80 ± 23.72</t>
  </si>
  <si>
    <t>102.78 ± 21.64</t>
  </si>
  <si>
    <t>1.41 ± 0.62</t>
  </si>
  <si>
    <t>1.63 ± 1.06</t>
  </si>
  <si>
    <t>4.65 ± 3.38</t>
  </si>
  <si>
    <t>67.92 ± 22.82</t>
  </si>
  <si>
    <t>75.50 ± 32.65</t>
  </si>
  <si>
    <t>107.98 ± 66.60</t>
  </si>
  <si>
    <t>1.06 ± 1.52</t>
  </si>
  <si>
    <t>1.82 ± 2.33</t>
  </si>
  <si>
    <t>4.45 ± 2.19</t>
  </si>
  <si>
    <t>51.06 ± 35.13</t>
  </si>
  <si>
    <t>77.26 ± 69.30</t>
  </si>
  <si>
    <t>172.52 ± 67.78</t>
  </si>
  <si>
    <t>1.11 ± 0.47</t>
  </si>
  <si>
    <t>1.16 ± 0.38</t>
  </si>
  <si>
    <t>0.87 ± 0.26</t>
  </si>
  <si>
    <t>129.20 ± 55.80</t>
  </si>
  <si>
    <t>91.48 ± 24.42</t>
  </si>
  <si>
    <t>94.40 ± 22.42</t>
  </si>
  <si>
    <t>12.93 ± 6.91</t>
  </si>
  <si>
    <t>11.14 ± 6.27</t>
  </si>
  <si>
    <t>27.70 ± 29.13</t>
  </si>
  <si>
    <t>120.12 ± 43.35</t>
  </si>
  <si>
    <t>128.30 ± 48.25</t>
  </si>
  <si>
    <t>176.60 ± 138.80</t>
  </si>
  <si>
    <t>3.45 ± 1.00</t>
  </si>
  <si>
    <t>6.86 ± 5.44</t>
  </si>
  <si>
    <t>12.15 ± 2.33</t>
  </si>
  <si>
    <t>68.21 ± 9.20</t>
  </si>
  <si>
    <t>84.58 ± 25.96</t>
  </si>
  <si>
    <t>139.46 ± 18.75</t>
  </si>
  <si>
    <t>54.70 ± 22.41</t>
  </si>
  <si>
    <t>53.77 ± 21.74</t>
  </si>
  <si>
    <t>52.57 ± 22.80</t>
  </si>
  <si>
    <t>725.64 ± 225.53</t>
  </si>
  <si>
    <t>727.50 ± 223.88</t>
  </si>
  <si>
    <t>715.72 ± 228.02</t>
  </si>
  <si>
    <t>82.89 ± 47.91</t>
  </si>
  <si>
    <t>75.49 ± 44.96</t>
  </si>
  <si>
    <t>75.14 ± 37.22</t>
  </si>
  <si>
    <t>478.92 ± 251.52</t>
  </si>
  <si>
    <t>467.20 ± 262.79</t>
  </si>
  <si>
    <t>486.86 ± 236.57</t>
  </si>
  <si>
    <t>24.54 ± 39.66</t>
  </si>
  <si>
    <t>42.00 ± 71.34</t>
  </si>
  <si>
    <t>177.22 ± 108.67</t>
  </si>
  <si>
    <t>690.04 ± 316.35</t>
  </si>
  <si>
    <t>255.46 ± 281.28</t>
  </si>
  <si>
    <t>184.38 ± 130.71</t>
  </si>
  <si>
    <t>181.82 ± 71.60</t>
  </si>
  <si>
    <t>170.53 ± 65.12</t>
  </si>
  <si>
    <t>157.95 ± 62.84</t>
  </si>
  <si>
    <t>945.42 ± 337.71</t>
  </si>
  <si>
    <t>930.24 ± 321.49</t>
  </si>
  <si>
    <t>899.50 ± 303.21</t>
  </si>
  <si>
    <t>OP</t>
  </si>
  <si>
    <t>Heuristic</t>
  </si>
  <si>
    <t>Translation-Based</t>
  </si>
  <si>
    <t>74.52 ± 19.71</t>
  </si>
  <si>
    <t>75.42 ± 19.11</t>
  </si>
  <si>
    <t>1.30 ± 0.99</t>
  </si>
  <si>
    <t>1.27 ± 0.96</t>
  </si>
  <si>
    <t>2.84 ± 2.14</t>
  </si>
  <si>
    <t>3.00 ± 2.67</t>
  </si>
  <si>
    <t>86.18 ± 14.75</t>
  </si>
  <si>
    <t>85.48 ± 14.57</t>
  </si>
  <si>
    <t>135.14 ± 31.97</t>
  </si>
  <si>
    <t>131.96 ± 28.79</t>
  </si>
  <si>
    <t>8.17 ± 5.02</t>
  </si>
  <si>
    <t>14.86 ± 19.04</t>
  </si>
  <si>
    <t>2.44 ± 7.01</t>
  </si>
  <si>
    <t>2.43 ± 6.82</t>
  </si>
  <si>
    <t>10.65 ± 1.88</t>
  </si>
  <si>
    <t>10.69 ± 1.89</t>
  </si>
  <si>
    <t>0.30 ± 0.19</t>
  </si>
  <si>
    <t>0.32 ± 0.18</t>
  </si>
  <si>
    <t>36.83 ± 17.55</t>
  </si>
  <si>
    <t>36.49 ± 15.35</t>
  </si>
  <si>
    <t>12.09 ± 35.74</t>
  </si>
  <si>
    <t>3.66 ± 2.88</t>
  </si>
  <si>
    <t>47.87 ± 13.37</t>
  </si>
  <si>
    <t>45.10 ± 12.78</t>
  </si>
  <si>
    <t>42.30 ± 58.79</t>
  </si>
  <si>
    <t>25.57 ± 26.55</t>
  </si>
  <si>
    <t>66.29 ± 21.60</t>
  </si>
  <si>
    <t>64.22 ± 22.19</t>
  </si>
  <si>
    <t>1.83 ± 1.03</t>
  </si>
  <si>
    <t>83.11 ± 49.91</t>
  </si>
  <si>
    <t>2.77 ± 1.87</t>
  </si>
  <si>
    <t>93.64 ± 62.16</t>
  </si>
  <si>
    <t>159.82 ± 94.50</t>
  </si>
  <si>
    <t>146.65 ± 74.35</t>
  </si>
  <si>
    <t>478.85 ± 249.22</t>
  </si>
  <si>
    <t>465.76 ± 273.19</t>
  </si>
  <si>
    <t>215.09 ± 107.77</t>
  </si>
  <si>
    <t>108.15 ± 39.66</t>
  </si>
  <si>
    <t>821.91 ± 185.50</t>
  </si>
  <si>
    <t>745.70 ± 268.18</t>
  </si>
  <si>
    <t>2.86 ± 1.50</t>
  </si>
  <si>
    <t>5.67 ± 2.50</t>
  </si>
  <si>
    <t>56.83 ± 11.16</t>
  </si>
  <si>
    <t>60.28 ± 10.04</t>
  </si>
  <si>
    <t>252.10 ± 107.38</t>
  </si>
  <si>
    <t>312.84 ± 115.77</t>
  </si>
  <si>
    <t>863.79 ± 371.53</t>
  </si>
  <si>
    <t>956.65 ± 353.17</t>
  </si>
  <si>
    <t>874.37 ± 328.26</t>
  </si>
  <si>
    <t>872.92 ± 313.12</t>
  </si>
  <si>
    <t>912.36 ± 403.46</t>
  </si>
  <si>
    <t>858.92 ± 353.10</t>
  </si>
  <si>
    <t>165.50 ± 73.40</t>
  </si>
  <si>
    <t>167.42 ± 77.67</t>
  </si>
  <si>
    <t>156.49 ± 71.00</t>
  </si>
  <si>
    <t>160.38 ± 65.93</t>
  </si>
  <si>
    <t>All</t>
  </si>
  <si>
    <t>Translation-Based, Cost=1</t>
  </si>
  <si>
    <t>Translation-Based, Cost=5</t>
  </si>
  <si>
    <t>Translation-Based, Cost=20</t>
  </si>
  <si>
    <t>67.03 ± 23.69</t>
  </si>
  <si>
    <t>64.03 ± 21.45</t>
  </si>
  <si>
    <t>63.73 ± 21.43</t>
  </si>
  <si>
    <t>1.43 ± 0.58</t>
  </si>
  <si>
    <t>1.41 ± 0.56</t>
  </si>
  <si>
    <t>1.49 ± 0.70</t>
  </si>
  <si>
    <t>1.42 ± 0.77</t>
  </si>
  <si>
    <t>138.27 ± 39.00</t>
  </si>
  <si>
    <t>128.69 ± 39.11</t>
  </si>
  <si>
    <t>140.73 ± 45.36</t>
  </si>
  <si>
    <t>130.92 ± 39.83</t>
  </si>
  <si>
    <t>13.26 ± 6.40</t>
  </si>
  <si>
    <t>11.64 ± 4.07</t>
  </si>
  <si>
    <t>15.09 ± 7.62</t>
  </si>
  <si>
    <t>14.53 ± 5.16</t>
  </si>
  <si>
    <t>11.74 ± 2.13</t>
  </si>
  <si>
    <t>12.06 ± 2.53</t>
  </si>
  <si>
    <t>0.63 ± 2.09</t>
  </si>
  <si>
    <t>0.67 ± 2.20</t>
  </si>
  <si>
    <t>0.65 ± 2.25</t>
  </si>
  <si>
    <t>0.64 ± 2.20</t>
  </si>
  <si>
    <t>47.86 ± 19.92</t>
  </si>
  <si>
    <t>47.71 ± 19.29</t>
  </si>
  <si>
    <t>39.71 ± 17.51</t>
  </si>
  <si>
    <t>48.29 ± 19.80</t>
  </si>
  <si>
    <t>0.65 ± 0.46</t>
  </si>
  <si>
    <t>0.49 ± 0.24</t>
  </si>
  <si>
    <t>0.36 ± 0.12</t>
  </si>
  <si>
    <t>0.59 ± 0.48</t>
  </si>
  <si>
    <t>469.43 ± 275.45</t>
  </si>
  <si>
    <t>416.86 ± 277.42</t>
  </si>
  <si>
    <t>595.14 ± 219.92</t>
  </si>
  <si>
    <t>533.50 ± 227.62</t>
  </si>
  <si>
    <t>80.72 ± 43.99</t>
  </si>
  <si>
    <t>128.54 ± 134.80</t>
  </si>
  <si>
    <t>100.53 ± 37.60</t>
  </si>
  <si>
    <t>95.14 ± 40.03</t>
  </si>
  <si>
    <t>80.42 ± 48.77</t>
  </si>
  <si>
    <t>87.92 ± 49.36</t>
  </si>
  <si>
    <t>80.92 ± 56.68</t>
  </si>
  <si>
    <t>92.33 ± 58.17</t>
  </si>
  <si>
    <t>4.58 ± 2.94</t>
  </si>
  <si>
    <t>4.86 ± 3.39</t>
  </si>
  <si>
    <t>5.02 ± 4.23</t>
  </si>
  <si>
    <t>6.44 ± 6.22</t>
  </si>
  <si>
    <t>646.25 ± 112.23</t>
  </si>
  <si>
    <t>636.75 ± 126.89</t>
  </si>
  <si>
    <t>675.00 ± 72.71</t>
  </si>
  <si>
    <t>602.00 ± 183.13</t>
  </si>
  <si>
    <t>50.40 ± 4.85</t>
  </si>
  <si>
    <t>46.56 ± 8.04</t>
  </si>
  <si>
    <t>49.14 ± 5.22</t>
  </si>
  <si>
    <t>45.03 ± 12.43</t>
  </si>
  <si>
    <t>194.20 ± 54.62</t>
  </si>
  <si>
    <t>188.33 ± 47.70</t>
  </si>
  <si>
    <t>177.88 ± 56.77</t>
  </si>
  <si>
    <t>113.78 ± 141.76</t>
  </si>
  <si>
    <t>111.37 ± 121.62</t>
  </si>
  <si>
    <t>91.58 ± 84.67</t>
  </si>
  <si>
    <t>DNF</t>
  </si>
  <si>
    <t>955.20 ± 260.15</t>
  </si>
  <si>
    <t>944.10 ± 221.45</t>
  </si>
  <si>
    <t>890.10 ± 254.46</t>
  </si>
  <si>
    <t>951.50 ± 215.96</t>
  </si>
  <si>
    <t>261.07 ± 76.00</t>
  </si>
  <si>
    <t>293.49 ± 84.59</t>
  </si>
  <si>
    <t>253.37 ± 87.73</t>
  </si>
  <si>
    <t>253.21 ± 65.84</t>
  </si>
  <si>
    <t>56.75 ± 5.12</t>
  </si>
  <si>
    <t>2.24 ± 0.37</t>
  </si>
  <si>
    <t>2.34 ± 0.43</t>
  </si>
  <si>
    <t>2.09 ± 0.39</t>
  </si>
  <si>
    <t>1.96 ± 0.46</t>
  </si>
  <si>
    <t>doors irrelevant bc there are no deadends</t>
  </si>
  <si>
    <t xml:space="preserve">only consider problems where op </t>
  </si>
  <si>
    <t>duplicate table</t>
  </si>
  <si>
    <t>only if deadend</t>
  </si>
  <si>
    <t>Failures</t>
  </si>
  <si>
    <t>13.26 ± 2.14</t>
  </si>
  <si>
    <t>23.62 ± 1.65</t>
  </si>
  <si>
    <t>27.96 ± 4.75</t>
  </si>
  <si>
    <t>0.20 ± 0.06</t>
  </si>
  <si>
    <t>0.51 ± 0.05</t>
  </si>
  <si>
    <t>0.53 ± 0.15</t>
  </si>
  <si>
    <t>11.86 ± 3.28</t>
  </si>
  <si>
    <t>0.00 ± 0.00</t>
  </si>
  <si>
    <t>2.52 ± 1.15</t>
  </si>
  <si>
    <t>73.62 ± 20.34</t>
  </si>
  <si>
    <t>131.80 ± 20.63</t>
  </si>
  <si>
    <t>89.84 ± 22.08</t>
  </si>
  <si>
    <t>0.87 ± 0.31</t>
  </si>
  <si>
    <t>3.35 ± 0.64</t>
  </si>
  <si>
    <t>1.10 ± 0.39</t>
  </si>
  <si>
    <t>0.08 ± 0.27</t>
  </si>
  <si>
    <t>2.00 ± 0.92</t>
  </si>
  <si>
    <t>88.46 ± 16.73</t>
  </si>
  <si>
    <t>145.08 ± 28.30</t>
  </si>
  <si>
    <t>110.86 ± 22.42</t>
  </si>
  <si>
    <t>2.09 ± 0.64</t>
  </si>
  <si>
    <t>5.40 ± 1.37</t>
  </si>
  <si>
    <t>3.12 ± 1.09</t>
  </si>
  <si>
    <t>0.40 ± 0.57</t>
  </si>
  <si>
    <t>1.65 ± 0.44</t>
  </si>
  <si>
    <t>58.20 ± 28.18</t>
  </si>
  <si>
    <t>173.68 ± 78.55</t>
  </si>
  <si>
    <t>161.00 ± 68.25</t>
  </si>
  <si>
    <t>0.83 ± 0.39</t>
  </si>
  <si>
    <t>6.84 ± 3.19</t>
  </si>
  <si>
    <t>4.20 ± 2.18</t>
  </si>
  <si>
    <t>27.04 ± 12.28</t>
  </si>
  <si>
    <t>130.78 ± 53.84</t>
  </si>
  <si>
    <t>80.50 ± 30.98</t>
  </si>
  <si>
    <t>94.06 ± 63.04</t>
  </si>
  <si>
    <t>93.06 ± 63.04</t>
  </si>
  <si>
    <t>2.37 ± 1.04</t>
  </si>
  <si>
    <t>4.08 ± 3.36</t>
  </si>
  <si>
    <t>4.83 ± 3.81</t>
  </si>
  <si>
    <t>14.52 ± 5.86</t>
  </si>
  <si>
    <t>37.82 ± 24.81</t>
  </si>
  <si>
    <t>155.62 ± 46.44</t>
  </si>
  <si>
    <t>230.16 ± 55.47</t>
  </si>
  <si>
    <t>134.76 ± 33.04</t>
  </si>
  <si>
    <t>6.52 ± 1.97</t>
  </si>
  <si>
    <t>17.37 ± 5.04</t>
  </si>
  <si>
    <t>6.40 ± 2.54</t>
  </si>
  <si>
    <t>0.14 ± 0.40</t>
  </si>
  <si>
    <t>2.94 ± 1.05</t>
  </si>
  <si>
    <t>76.52 ± 12.56</t>
  </si>
  <si>
    <t>182.90 ± 15.12</t>
  </si>
  <si>
    <t>134.04 ± 18.30</t>
  </si>
  <si>
    <t>4.84 ± 2.04</t>
  </si>
  <si>
    <t>27.10 ± 3.38</t>
  </si>
  <si>
    <t>11.62 ± 3.06</t>
  </si>
  <si>
    <t>15.98 ± 4.35</t>
  </si>
  <si>
    <t>75.40 ± 8.93</t>
  </si>
  <si>
    <t>161.24 ± 56.15</t>
  </si>
  <si>
    <t>165.88 ± 127.28</t>
  </si>
  <si>
    <t>164.88 ± 127.28</t>
  </si>
  <si>
    <t>23.67 ± 9.03</t>
  </si>
  <si>
    <t>38.18 ± 36.85</t>
  </si>
  <si>
    <t>32.44 ± 33.81</t>
  </si>
  <si>
    <t>33.40 ± 11.49</t>
  </si>
  <si>
    <t>71.02 ± 52.88</t>
  </si>
  <si>
    <t>726.44 ± 232.81</t>
  </si>
  <si>
    <t>800.86 ± 200.77</t>
  </si>
  <si>
    <t>747.32 ± 215.61</t>
  </si>
  <si>
    <t>79.75 ± 34.50</t>
  </si>
  <si>
    <t>92.27 ± 29.88</t>
  </si>
  <si>
    <t>83.91 ± 33.00</t>
  </si>
  <si>
    <t>1.06 ± 0.99</t>
  </si>
  <si>
    <t>3.94 ± 1.74</t>
  </si>
  <si>
    <t>489.72 ± 228.41</t>
  </si>
  <si>
    <t>419.46 ± 235.02</t>
  </si>
  <si>
    <t>428.26 ± 260.79</t>
  </si>
  <si>
    <t>99.00 ± 48.14</t>
  </si>
  <si>
    <t>99.91 ± 55.78</t>
  </si>
  <si>
    <t>89.76 ± 50.73</t>
  </si>
  <si>
    <t>0.34 ± 0.59</t>
  </si>
  <si>
    <t>1.30 ± 0.94</t>
  </si>
  <si>
    <t>198.94 ± 99.45</t>
  </si>
  <si>
    <t>765.49 ± 276.43</t>
  </si>
  <si>
    <t>635.88 ± 317.98</t>
  </si>
  <si>
    <t>16.07 ± 9.04</t>
  </si>
  <si>
    <t>342.86 ± 142.80</t>
  </si>
  <si>
    <t>171.00 ± 121.36</t>
  </si>
  <si>
    <t>119.73 ± 56.20</t>
  </si>
  <si>
    <t>566.43 ± 281.78</t>
  </si>
  <si>
    <t>884.16 ± 349.58</t>
  </si>
  <si>
    <t>876.26 ± 360.32</t>
  </si>
  <si>
    <t>838.54 ± 308.85</t>
  </si>
  <si>
    <t>228.66 ± 102.70</t>
  </si>
  <si>
    <t>241.60 ± 106.79</t>
  </si>
  <si>
    <t>227.58 ± 95.52</t>
  </si>
  <si>
    <t>0.54 ± 0.70</t>
  </si>
  <si>
    <t>2.72 ± 1.34</t>
  </si>
  <si>
    <t>28.34 ± 5.24</t>
  </si>
  <si>
    <t>24.16 ± 1.94</t>
  </si>
  <si>
    <t>10.60 ± 3.20</t>
  </si>
  <si>
    <t>10.50 ± 3.01</t>
  </si>
  <si>
    <t>0.46 ± 0.12</t>
  </si>
  <si>
    <t>0.44 ± 0.04</t>
  </si>
  <si>
    <t>0.17 ± 0.12</t>
  </si>
  <si>
    <t>0.20 ± 0.17</t>
  </si>
  <si>
    <t>12.18 ± 3.70</t>
  </si>
  <si>
    <t>94.34 ± 19.74</t>
  </si>
  <si>
    <t>136.28 ± 32.19</t>
  </si>
  <si>
    <t>101.78 ± 25.38</t>
  </si>
  <si>
    <t>85.02 ± 18.97</t>
  </si>
  <si>
    <t>0.77 ± 0.22</t>
  </si>
  <si>
    <t>2.20 ± 0.54</t>
  </si>
  <si>
    <t>1.60 ± 0.48</t>
  </si>
  <si>
    <t>2.62 ± 0.64</t>
  </si>
  <si>
    <t>2.08 ± 0.82</t>
  </si>
  <si>
    <t>107.81 ± 25.86</t>
  </si>
  <si>
    <t>144.46 ± 30.30</t>
  </si>
  <si>
    <t>113.62 ± 24.75</t>
  </si>
  <si>
    <t>103.58 ± 27.66</t>
  </si>
  <si>
    <t>1.41 ± 0.48</t>
  </si>
  <si>
    <t>3.84 ± 0.94</t>
  </si>
  <si>
    <t>2.92 ± 0.83</t>
  </si>
  <si>
    <t>4.87 ± 1.43</t>
  </si>
  <si>
    <t>3.08 ± 1.17</t>
  </si>
  <si>
    <t>185.42 ± 66.04</t>
  </si>
  <si>
    <t>197.68 ± 68.42</t>
  </si>
  <si>
    <t>88.36 ± 84.98</t>
  </si>
  <si>
    <t>71.94 ± 65.67</t>
  </si>
  <si>
    <t>4.41 ± 1.83</t>
  </si>
  <si>
    <t>6.53 ± 2.20</t>
  </si>
  <si>
    <t>2.60 ± 2.84</t>
  </si>
  <si>
    <t>3.10 ± 3.67</t>
  </si>
  <si>
    <t>149.80 ± 51.57</t>
  </si>
  <si>
    <t>174.45 ± 32.52</t>
  </si>
  <si>
    <t>236.70 ± 61.19</t>
  </si>
  <si>
    <t>188.04 ± 39.44</t>
  </si>
  <si>
    <t>146.70 ± 48.84</t>
  </si>
  <si>
    <t>4.15 ± 1.10</t>
  </si>
  <si>
    <t>10.74 ± 3.38</t>
  </si>
  <si>
    <t>7.95 ± 2.01</t>
  </si>
  <si>
    <t>12.58 ± 5.70</t>
  </si>
  <si>
    <t>3.43 ± 1.20</t>
  </si>
  <si>
    <t>138.46 ± 17.85</t>
  </si>
  <si>
    <t>184.30 ± 11.99</t>
  </si>
  <si>
    <t>111.36 ± 42.55</t>
  </si>
  <si>
    <t>73.88 ± 14.02</t>
  </si>
  <si>
    <t>11.73 ± 2.46</t>
  </si>
  <si>
    <t>24.75 ± 2.80</t>
  </si>
  <si>
    <t>13.58 ± 9.12</t>
  </si>
  <si>
    <t>6.13 ± 2.90</t>
  </si>
  <si>
    <t>78.58 ± 8.72</t>
  </si>
  <si>
    <t>91.67 ± 63.19</t>
  </si>
  <si>
    <t>92.78 ± 63.24</t>
  </si>
  <si>
    <t>50.40 ± 18.99</t>
  </si>
  <si>
    <t>51.04 ± 21.20</t>
  </si>
  <si>
    <t>3.57 ± 3.03</t>
  </si>
  <si>
    <t>3.76 ± 2.71</t>
  </si>
  <si>
    <t>1.20 ± 1.14</t>
  </si>
  <si>
    <t>1.44 ± 1.85</t>
  </si>
  <si>
    <t>37.00 ± 24.41</t>
  </si>
  <si>
    <t>181.33 ± 151.10</t>
  </si>
  <si>
    <t>182.33 ± 151.10</t>
  </si>
  <si>
    <t>74.67 ± 36.00</t>
  </si>
  <si>
    <t>85.69 ± 53.12</t>
  </si>
  <si>
    <t>32.05 ± 34.30</t>
  </si>
  <si>
    <t>31.89 ± 28.78</t>
  </si>
  <si>
    <t>9.84 ± 10.95</t>
  </si>
  <si>
    <t>14.95 ± 22.88</t>
  </si>
  <si>
    <t>77.87 ± 63.49</t>
  </si>
  <si>
    <t>727.48 ± 243.78</t>
  </si>
  <si>
    <t>754.84 ± 250.07</t>
  </si>
  <si>
    <t>728.71 ± 230.72</t>
  </si>
  <si>
    <t>723.35 ± 239.65</t>
  </si>
  <si>
    <t>68.54 ± 27.30</t>
  </si>
  <si>
    <t>70.95 ± 27.66</t>
  </si>
  <si>
    <t>69.22 ± 26.67</t>
  </si>
  <si>
    <t>75.43 ± 28.23</t>
  </si>
  <si>
    <t>3.52 ± 1.46</t>
  </si>
  <si>
    <t>653.36 ± 313.81</t>
  </si>
  <si>
    <t>749.72 ± 294.20</t>
  </si>
  <si>
    <t>425.04 ± 385.62</t>
  </si>
  <si>
    <t>268.68 ± 239.70</t>
  </si>
  <si>
    <t>143.15 ± 99.22</t>
  </si>
  <si>
    <t>262.53 ± 110.89</t>
  </si>
  <si>
    <t>82.54 ± 78.64</t>
  </si>
  <si>
    <t>78.44 ± 87.61</t>
  </si>
  <si>
    <t>581.52 ± 277.10</t>
  </si>
  <si>
    <t>386.43 ± 263.36</t>
  </si>
  <si>
    <t>574.22 ± 248.23</t>
  </si>
  <si>
    <t>398.49 ± 298.27</t>
  </si>
  <si>
    <t>396.95 ± 297.32</t>
  </si>
  <si>
    <t>150.52 ± 101.09</t>
  </si>
  <si>
    <t>238.08 ± 93.07</t>
  </si>
  <si>
    <t>169.22 ± 127.96</t>
  </si>
  <si>
    <t>161.18 ± 120.62</t>
  </si>
  <si>
    <t>1.14 ± 1.02</t>
  </si>
  <si>
    <t>937.09 ± 273.39</t>
  </si>
  <si>
    <t>909.34 ± 311.61</t>
  </si>
  <si>
    <t>919.50 ± 381.52</t>
  </si>
  <si>
    <t>830.06 ± 382.45</t>
  </si>
  <si>
    <t>227.57 ± 73.91</t>
  </si>
  <si>
    <t>231.31 ± 77.61</t>
  </si>
  <si>
    <t>192.95 ± 86.85</t>
  </si>
  <si>
    <t>213.79 ± 94.50</t>
  </si>
  <si>
    <t>2.38 ± 1.45</t>
  </si>
  <si>
    <t>SR</t>
  </si>
  <si>
    <t>92.06 ± 20.06</t>
  </si>
  <si>
    <t>99.90 ± 25.10</t>
  </si>
  <si>
    <t>83.31 ± 15.40</t>
  </si>
  <si>
    <t>1.17 ± 0.36</t>
  </si>
  <si>
    <t>2.37 ± 0.72</t>
  </si>
  <si>
    <t>3.48 ± 0.72</t>
  </si>
  <si>
    <t>2.06 ± 0.87</t>
  </si>
  <si>
    <t>0.39 ± 0.53</t>
  </si>
  <si>
    <t>0.53 ± 0.67</t>
  </si>
  <si>
    <t>105.29 ± 25.07</t>
  </si>
  <si>
    <t>107.55 ± 22.14</t>
  </si>
  <si>
    <t>100.61 ± 26.47</t>
  </si>
  <si>
    <t>2.29 ± 0.77</t>
  </si>
  <si>
    <t>3.96 ± 0.94</t>
  </si>
  <si>
    <t>6.97 ± 2.19</t>
  </si>
  <si>
    <t>2.88 ± 1.15</t>
  </si>
  <si>
    <t>0.65 ± 0.80</t>
  </si>
  <si>
    <t>0.94 ± 0.91</t>
  </si>
  <si>
    <t>175.66 ± 64.60</t>
  </si>
  <si>
    <t>96.22 ± 82.80</t>
  </si>
  <si>
    <t>86.98 ± 68.54</t>
  </si>
  <si>
    <t>6.47 ± 2.83</t>
  </si>
  <si>
    <t>3.32 ± 3.79</t>
  </si>
  <si>
    <t>4.11 ± 4.72</t>
  </si>
  <si>
    <t>141.48 ± 50.89</t>
  </si>
  <si>
    <t>27.26 ± 13.95</t>
  </si>
  <si>
    <t>26.16 ± 13.24</t>
  </si>
  <si>
    <t>88.15 ± 52.94</t>
  </si>
  <si>
    <t>98.76 ± 32.09</t>
  </si>
  <si>
    <t>100.83 ± 38.32</t>
  </si>
  <si>
    <t>5.24 ± 3.89</t>
  </si>
  <si>
    <t>4.17 ± 2.24</t>
  </si>
  <si>
    <t>4.78 ± 4.16</t>
  </si>
  <si>
    <t>35.78 ± 21.04</t>
  </si>
  <si>
    <t>16.39 ± 4.73</t>
  </si>
  <si>
    <t>165.73 ± 39.71</t>
  </si>
  <si>
    <t>188.20 ± 38.19</t>
  </si>
  <si>
    <t>142.84 ± 36.69</t>
  </si>
  <si>
    <t>6.25 ± 1.89</t>
  </si>
  <si>
    <t>12.19 ± 3.03</t>
  </si>
  <si>
    <t>17.85 ± 5.48</t>
  </si>
  <si>
    <t>3.08 ± 1.14</t>
  </si>
  <si>
    <t>0.86 ± 0.88</t>
  </si>
  <si>
    <t>0.76 ± 0.87</t>
  </si>
  <si>
    <t>136.28 ± 17.31</t>
  </si>
  <si>
    <t>97.24 ± 28.90</t>
  </si>
  <si>
    <t>85.08 ± 13.81</t>
  </si>
  <si>
    <t>18.61 ± 3.88</t>
  </si>
  <si>
    <t>15.13 ± 11.12</t>
  </si>
  <si>
    <t>9.96 ± 3.37</t>
  </si>
  <si>
    <t>76.96 ± 8.68</t>
  </si>
  <si>
    <t>16.32 ± 3.97</t>
  </si>
  <si>
    <t>15.98 ± 3.93</t>
  </si>
  <si>
    <t>28.78 ± 5.15</t>
  </si>
  <si>
    <t>14.91 ± 3.40</t>
  </si>
  <si>
    <t>15.13 ± 3.59</t>
  </si>
  <si>
    <t>0.70 ± 0.19</t>
  </si>
  <si>
    <t>0.38 ± 0.29</t>
  </si>
  <si>
    <t>0.39 ± 0.29</t>
  </si>
  <si>
    <t>12.67 ± 3.61</t>
  </si>
  <si>
    <t>2.93 ± 1.51</t>
  </si>
  <si>
    <t>3.00 ± 1.53</t>
  </si>
  <si>
    <t>166.43 ± 134.54</t>
  </si>
  <si>
    <t>186.86 ± 68.57</t>
  </si>
  <si>
    <t>183.80 ± 60.89</t>
  </si>
  <si>
    <t>45.70 ± 48.28</t>
  </si>
  <si>
    <t>32.39 ± 16.13</t>
  </si>
  <si>
    <t>35.55 ± 17.88</t>
  </si>
  <si>
    <t>71.64 ± 56.45</t>
  </si>
  <si>
    <t>36.30 ± 11.26</t>
  </si>
  <si>
    <t>681.85 ± 184.12</t>
  </si>
  <si>
    <t>689.59 ± 262.47</t>
  </si>
  <si>
    <t>688.47 ± 261.85</t>
  </si>
  <si>
    <t>50.45 ± 17.35</t>
  </si>
  <si>
    <t>51.48 ± 26.64</t>
  </si>
  <si>
    <t>52.18 ± 26.11</t>
  </si>
  <si>
    <t>4.65 ± 1.62</t>
  </si>
  <si>
    <t>1.06 ± 0.91</t>
  </si>
  <si>
    <t>1.03 ± 0.86</t>
  </si>
  <si>
    <t>460.55 ± 255.13</t>
  </si>
  <si>
    <t>474.71 ± 236.76</t>
  </si>
  <si>
    <t>397.71 ± 246.33</t>
  </si>
  <si>
    <t>72.15 ± 39.33</t>
  </si>
  <si>
    <t>76.55 ± 41.19</t>
  </si>
  <si>
    <t>63.03 ± 36.17</t>
  </si>
  <si>
    <t>1.21 ± 1.04</t>
  </si>
  <si>
    <t>0.24 ± 0.48</t>
  </si>
  <si>
    <t>0.29 ± 0.50</t>
  </si>
  <si>
    <t>748.22 ± 269.35</t>
  </si>
  <si>
    <t>425.86 ± 353.46</t>
  </si>
  <si>
    <t>356.50 ± 290.09</t>
  </si>
  <si>
    <t>266.56 ± 141.73</t>
  </si>
  <si>
    <t>92.98 ± 101.20</t>
  </si>
  <si>
    <t>104.13 ± 128.38</t>
  </si>
  <si>
    <t>666.18 ± 234.52</t>
  </si>
  <si>
    <t>122.14 ± 55.42</t>
  </si>
  <si>
    <t>125.38 ± 55.49</t>
  </si>
  <si>
    <t>874.71 ± 289.18</t>
  </si>
  <si>
    <t>938.31 ± 272.31</t>
  </si>
  <si>
    <t>901.62 ± 286.95</t>
  </si>
  <si>
    <t>157.47 ± 60.34</t>
  </si>
  <si>
    <t>171.05 ± 54.05</t>
  </si>
  <si>
    <t>170.30 ± 54.87</t>
  </si>
  <si>
    <t>2.93 ± 1.32</t>
  </si>
  <si>
    <t>0.79 ± 0.71</t>
  </si>
  <si>
    <t>72.88 ± 17.15</t>
  </si>
  <si>
    <t>69.65 ± 17.36</t>
  </si>
  <si>
    <t>2.83 ± 0.36</t>
  </si>
  <si>
    <t>3.34 ± 0.67</t>
  </si>
  <si>
    <t>0.35 ± 0.97</t>
  </si>
  <si>
    <t>87.76 ± 17.20</t>
  </si>
  <si>
    <t>82.67 ± 15.73</t>
  </si>
  <si>
    <t>5.73 ± 0.66</t>
  </si>
  <si>
    <t>5.87 ± 2.09</t>
  </si>
  <si>
    <t>1.86 ± 1.46</t>
  </si>
  <si>
    <t>49.50 ± 13.75</t>
  </si>
  <si>
    <t>49.21 ± 11.23</t>
  </si>
  <si>
    <t>5.47 ± 3.03</t>
  </si>
  <si>
    <t>4.14 ± 9.21</t>
  </si>
  <si>
    <t>0.71 ± 0.92</t>
  </si>
  <si>
    <t>0.79 ± 1.11</t>
  </si>
  <si>
    <t>140.00 ± 32.34</t>
  </si>
  <si>
    <t>141.61 ± 21.54</t>
  </si>
  <si>
    <t>11.44 ± 2.11</t>
  </si>
  <si>
    <t>17.15 ± 12.44</t>
  </si>
  <si>
    <t>1.83 ± 1.46</t>
  </si>
  <si>
    <t>38.33 ± 15.84</t>
  </si>
  <si>
    <t>38.37 ± 16.30</t>
  </si>
  <si>
    <t>0.62 ± 0.24</t>
  </si>
  <si>
    <t>0.54 ± 0.19</t>
  </si>
  <si>
    <t>1.00 ± 0.86</t>
  </si>
  <si>
    <t>2.00 ± 1.44</t>
  </si>
  <si>
    <t>63.44 ± 42.23</t>
  </si>
  <si>
    <t>2.52 ± 1.27</t>
  </si>
  <si>
    <t>1.08 ± 0.98</t>
  </si>
  <si>
    <t>72.00 ± 50.71</t>
  </si>
  <si>
    <t>1.86 ± 0.97</t>
  </si>
  <si>
    <t>1.76 ± 1.36</t>
  </si>
  <si>
    <t>418.45 ± 255.58</t>
  </si>
  <si>
    <t>498.45 ± 240.66</t>
  </si>
  <si>
    <t>92.64 ± 40.92</t>
  </si>
  <si>
    <t>100.37 ± 63.01</t>
  </si>
  <si>
    <t>0.30 ± 0.46</t>
  </si>
  <si>
    <t>66.27 ± 16.94</t>
  </si>
  <si>
    <t>67.46 ± 17.31</t>
  </si>
  <si>
    <t>37.92 ± 28.28</t>
  </si>
  <si>
    <t>29.99 ± 27.71</t>
  </si>
  <si>
    <t>1.19 ± 0.96</t>
  </si>
  <si>
    <t>1.23 ± 1.25</t>
  </si>
  <si>
    <t>749.88 ± 154.35</t>
  </si>
  <si>
    <t>749.00 ± 184.64</t>
  </si>
  <si>
    <t>85.68 ± 18.51</t>
  </si>
  <si>
    <t>171.06 ± 65.98</t>
  </si>
  <si>
    <t>0.12 ± 0.32</t>
  </si>
  <si>
    <t>0.10 ± 0.30</t>
  </si>
  <si>
    <t>970.86 ± 312.53</t>
  </si>
  <si>
    <t>975.61 ± 304.01</t>
  </si>
  <si>
    <t>234.42 ± 60.13</t>
  </si>
  <si>
    <t>227.35 ± 105.48</t>
  </si>
  <si>
    <t>0.07 ± 0.26</t>
  </si>
  <si>
    <t>93.80 ± 30.02</t>
  </si>
  <si>
    <t>93.03 ± 29.45</t>
  </si>
  <si>
    <t>94.26 ± 30.21</t>
  </si>
  <si>
    <t>93.57 ± 29.81</t>
  </si>
  <si>
    <t>91.43 ± 29.29</t>
  </si>
  <si>
    <t>91.09 ± 29.36</t>
  </si>
  <si>
    <t>92.09 ± 30.17</t>
  </si>
  <si>
    <t>93.74 ± 29.81</t>
  </si>
  <si>
    <t>2.39 ± 1.26</t>
  </si>
  <si>
    <t>2.59 ± 1.52</t>
  </si>
  <si>
    <t>2.71 ± 1.76</t>
  </si>
  <si>
    <t>2.75 ± 1.79</t>
  </si>
  <si>
    <t>2.45 ± 1.14</t>
  </si>
  <si>
    <t>2.64 ± 1.13</t>
  </si>
  <si>
    <t>2.62 ± 1.14</t>
  </si>
  <si>
    <t>2.91 ± 1.30</t>
  </si>
  <si>
    <t>15.54 ± 6.18</t>
  </si>
  <si>
    <t>15.69 ± 6.38</t>
  </si>
  <si>
    <t>15.29 ± 6.28</t>
  </si>
  <si>
    <t>15.51 ± 6.19</t>
  </si>
  <si>
    <t>All - MT</t>
  </si>
  <si>
    <t>All - LZ</t>
  </si>
  <si>
    <t>13.00 ± 1.59</t>
  </si>
  <si>
    <t>0.22 ± 0.09</t>
  </si>
  <si>
    <t>0.23 ± 0.08</t>
  </si>
  <si>
    <t>0.24 ± 0.09</t>
  </si>
  <si>
    <t>0.25 ± 0.10</t>
  </si>
  <si>
    <t>2.58 ± 1.16</t>
  </si>
  <si>
    <t>0.27 ± 0.19</t>
  </si>
  <si>
    <t>0.23 ± 0.11</t>
  </si>
  <si>
    <t>0.21 ± 0.08</t>
  </si>
  <si>
    <t>46.29 ± 11.71</t>
  </si>
  <si>
    <t>0.54 ± 0.15</t>
  </si>
  <si>
    <t>0.56 ± 0.15</t>
  </si>
  <si>
    <t>0.61 ± 0.16</t>
  </si>
  <si>
    <t>23.86 ± 5.19</t>
  </si>
  <si>
    <t>0.52 ± 0.13</t>
  </si>
  <si>
    <t>0.64 ± 0.13</t>
  </si>
  <si>
    <t>0.62 ± 0.13</t>
  </si>
  <si>
    <t>83.46 ± 14.57</t>
  </si>
  <si>
    <t>4.68 ± 1.33</t>
  </si>
  <si>
    <t>4.88 ± 1.34</t>
  </si>
  <si>
    <t>5.03 ± 1.44</t>
  </si>
  <si>
    <t>5.07 ± 1.42</t>
  </si>
  <si>
    <t>17.62 ± 4.95</t>
  </si>
  <si>
    <t>5.23 ± 1.43</t>
  </si>
  <si>
    <t>5.08 ± 1.36</t>
  </si>
  <si>
    <t>5.10 ± 1.35</t>
  </si>
  <si>
    <t>4.96 ± 1.35</t>
  </si>
  <si>
    <t>151.67 ± 57.20</t>
  </si>
  <si>
    <t>164.67 ± 55.03</t>
  </si>
  <si>
    <t>148.33 ± 64.29</t>
  </si>
  <si>
    <t>170.25 ± 58.45</t>
  </si>
  <si>
    <t>12.72 ± 6.68</t>
  </si>
  <si>
    <t>16.19 ± 8.67</t>
  </si>
  <si>
    <t>16.96 ± 11.10</t>
  </si>
  <si>
    <t>25.84 ± 18.61</t>
  </si>
  <si>
    <t>31.58 ± 12.51</t>
  </si>
  <si>
    <t>34.21 ± 13.67</t>
  </si>
  <si>
    <t>28.71 ± 14.45</t>
  </si>
  <si>
    <t>33.54 ± 12.40</t>
  </si>
  <si>
    <t>151.62 ± 57.16</t>
  </si>
  <si>
    <t>150.67 ± 56.50</t>
  </si>
  <si>
    <t>160.12 ± 56.37</t>
  </si>
  <si>
    <t>157.12 ± 55.69</t>
  </si>
  <si>
    <t>37.05 ± 17.31</t>
  </si>
  <si>
    <t>36.82 ± 15.61</t>
  </si>
  <si>
    <t>39.87 ± 16.33</t>
  </si>
  <si>
    <t>40.22 ± 15.84</t>
  </si>
  <si>
    <t>31.00 ± 12.05</t>
  </si>
  <si>
    <t>31.96 ± 12.92</t>
  </si>
  <si>
    <t>31.38 ± 12.46</t>
  </si>
  <si>
    <t>11.33 ± 1.89</t>
  </si>
  <si>
    <t>10.33 ± 1.89</t>
  </si>
  <si>
    <t>0.66 ± 0.10</t>
  </si>
  <si>
    <t>0.22 ± 0.01</t>
  </si>
  <si>
    <t>1.00 ± 0.00</t>
  </si>
  <si>
    <t>33 exmaples</t>
  </si>
  <si>
    <t>todo fix the way this works in new setup</t>
  </si>
  <si>
    <t>154.25 ± 83.19</t>
  </si>
  <si>
    <t>132.42 ± 91.47</t>
  </si>
  <si>
    <t>154.08 ± 82.95</t>
  </si>
  <si>
    <t>150.67 ± 95.17</t>
  </si>
  <si>
    <t>10.65 ± 6.38</t>
  </si>
  <si>
    <t>8.64 ± 6.63</t>
  </si>
  <si>
    <t>11.07 ± 6.85</t>
  </si>
  <si>
    <t>22.28 ± 43.76</t>
  </si>
  <si>
    <t>92.58 ± 44.12</t>
  </si>
  <si>
    <t>78.92 ± 48.87</t>
  </si>
  <si>
    <t>92.75 ± 43.99</t>
  </si>
  <si>
    <t>85.08 ± 46.54</t>
  </si>
  <si>
    <t>0.64</t>
  </si>
  <si>
    <t>0.58</t>
  </si>
  <si>
    <t>0.72</t>
  </si>
  <si>
    <t>0.80</t>
  </si>
  <si>
    <t>499.67 ± 255.61</t>
  </si>
  <si>
    <t>463.46 ± 276.22</t>
  </si>
  <si>
    <t>75.10 ± 38.68</t>
  </si>
  <si>
    <t>73.36 ± 41.40</t>
  </si>
  <si>
    <t>75.41 ± 38.87</t>
  </si>
  <si>
    <t>75.04 ± 38.95</t>
  </si>
  <si>
    <t>0.25 ± 0.52</t>
  </si>
  <si>
    <t>0.33 ± 0.62</t>
  </si>
  <si>
    <t>0.78</t>
  </si>
  <si>
    <t>0.62</t>
  </si>
  <si>
    <t>0.66</t>
  </si>
  <si>
    <t>0.84</t>
  </si>
  <si>
    <t>797.95 ± 204.86</t>
  </si>
  <si>
    <t>56.91 ± 19.52</t>
  </si>
  <si>
    <t>58.50 ± 19.61</t>
  </si>
  <si>
    <t>57.63 ± 19.55</t>
  </si>
  <si>
    <t>58.41 ± 19.87</t>
  </si>
  <si>
    <t>0.65 ± 0.65</t>
  </si>
  <si>
    <t>0.74</t>
  </si>
  <si>
    <t>0.54</t>
  </si>
  <si>
    <t>0.88</t>
  </si>
  <si>
    <t>59.90 ± 20.28</t>
  </si>
  <si>
    <t>61.39 ± 20.53</t>
  </si>
  <si>
    <t>61.76 ± 20.34</t>
  </si>
  <si>
    <t>62.43 ± 20.49</t>
  </si>
  <si>
    <t>0.42</t>
  </si>
  <si>
    <t>0.90</t>
  </si>
  <si>
    <t>0.98</t>
  </si>
  <si>
    <t>0.96</t>
  </si>
  <si>
    <t>77.34 ± 40.59</t>
  </si>
  <si>
    <t>76.19 ± 39.77</t>
  </si>
  <si>
    <t>76.23 ± 39.45</t>
  </si>
  <si>
    <t>77.98 ± 41.06</t>
  </si>
  <si>
    <t>0.48</t>
  </si>
  <si>
    <t>1.00</t>
  </si>
  <si>
    <t>140.33 ± 88.13</t>
  </si>
  <si>
    <t>135.92 ± 89.06</t>
  </si>
  <si>
    <t>130.75 ± 93.10</t>
  </si>
  <si>
    <t>144.58 ± 89.52</t>
  </si>
  <si>
    <t>9.79 ± 6.86</t>
  </si>
  <si>
    <t>8.93 ± 6.61</t>
  </si>
  <si>
    <t>9.00 ± 6.79</t>
  </si>
  <si>
    <t>12.26 ± 9.18</t>
  </si>
  <si>
    <t>84.42 ± 46.37</t>
  </si>
  <si>
    <t>81.42 ± 46.88</t>
  </si>
  <si>
    <t>78.08 ± 49.82</t>
  </si>
  <si>
    <t>0.30</t>
  </si>
  <si>
    <t>0.70</t>
  </si>
  <si>
    <t>FB - HIGH</t>
  </si>
  <si>
    <t>93.62 ± 20.25</t>
  </si>
  <si>
    <t>118.49 ± 21.13</t>
  </si>
  <si>
    <t>100.64 ± 20.02</t>
  </si>
  <si>
    <t>0.91 ± 0.30</t>
  </si>
  <si>
    <t>2.51 ± 0.57</t>
  </si>
  <si>
    <t>3.84 ± 0.73</t>
  </si>
  <si>
    <t>2.19 ± 0.84</t>
  </si>
  <si>
    <t>1.70 ± 0.90</t>
  </si>
  <si>
    <t>2.17 ± 0.97</t>
  </si>
  <si>
    <t>0.94</t>
  </si>
  <si>
    <t>107.62 ± 16.75</t>
  </si>
  <si>
    <t>134.24 ± 26.64</t>
  </si>
  <si>
    <t>119.43 ± 29.50</t>
  </si>
  <si>
    <t>1.38 ± 0.29</t>
  </si>
  <si>
    <t>4.02 ± 0.94</t>
  </si>
  <si>
    <t>7.06 ± 2.11</t>
  </si>
  <si>
    <t>3.16 ± 0.97</t>
  </si>
  <si>
    <t>2.19 ± 1.09</t>
  </si>
  <si>
    <t>3.11 ± 0.98</t>
  </si>
  <si>
    <t>167.51 ± 73.74</t>
  </si>
  <si>
    <t>204.82 ± 73.23</t>
  </si>
  <si>
    <t>196.73 ± 65.62</t>
  </si>
  <si>
    <t>4.50 ± 2.35</t>
  </si>
  <si>
    <t>5.99 ± 2.51</t>
  </si>
  <si>
    <t>7.12 ± 3.06</t>
  </si>
  <si>
    <t>133.94 ± 57.69</t>
  </si>
  <si>
    <t>114.67 ± 35.80</t>
  </si>
  <si>
    <t>112.43 ± 30.17</t>
  </si>
  <si>
    <t>88.18 ± 62.29</t>
  </si>
  <si>
    <t>198.03 ± 59.36</t>
  </si>
  <si>
    <t>197.90 ± 59.29</t>
  </si>
  <si>
    <t>3.73 ± 3.06</t>
  </si>
  <si>
    <t>7.81 ± 2.15</t>
  </si>
  <si>
    <t>8.92 ± 3.06</t>
  </si>
  <si>
    <t>35.90 ± 24.92</t>
  </si>
  <si>
    <t>56.97 ± 12.63</t>
  </si>
  <si>
    <t>135.82 ± 17.72</t>
  </si>
  <si>
    <t>137.72 ± 19.21</t>
  </si>
  <si>
    <t>131.00 ± 16.31</t>
  </si>
  <si>
    <t>12.37 ± 2.79</t>
  </si>
  <si>
    <t>15.57 ± 3.28</t>
  </si>
  <si>
    <t>13.22 ± 1.95</t>
  </si>
  <si>
    <t>76.44 ± 9.33</t>
  </si>
  <si>
    <t>59.86 ± 7.11</t>
  </si>
  <si>
    <t>58.40 ± 7.04</t>
  </si>
  <si>
    <t>0.44</t>
  </si>
  <si>
    <t>166.86 ± 38.36</t>
  </si>
  <si>
    <t>209.05 ± 45.25</t>
  </si>
  <si>
    <t>151.95 ± 35.40</t>
  </si>
  <si>
    <t>3.99 ± 1.14</t>
  </si>
  <si>
    <t>11.44 ± 3.03</t>
  </si>
  <si>
    <t>19.53 ± 7.34</t>
  </si>
  <si>
    <t>3.27 ± 1.17</t>
  </si>
  <si>
    <t>2.05 ± 0.98</t>
  </si>
  <si>
    <t>3.05 ± 1.36</t>
  </si>
  <si>
    <t>28.73 ± 5.04</t>
  </si>
  <si>
    <t>27.90 ± 5.31</t>
  </si>
  <si>
    <t>27.81 ± 5.14</t>
  </si>
  <si>
    <t>0.70 ± 0.23</t>
  </si>
  <si>
    <t>0.73 ± 0.25</t>
  </si>
  <si>
    <t>0.77 ± 0.21</t>
  </si>
  <si>
    <t>12.46 ± 3.50</t>
  </si>
  <si>
    <t>11.08 ± 2.48</t>
  </si>
  <si>
    <t>158.56 ± 133.01</t>
  </si>
  <si>
    <t>394.79 ± 169.31</t>
  </si>
  <si>
    <t>397.72 ± 172.01</t>
  </si>
  <si>
    <t>26.07 ± 29.46</t>
  </si>
  <si>
    <t>63.74 ± 27.77</t>
  </si>
  <si>
    <t>76.88 ± 38.26</t>
  </si>
  <si>
    <t>67.97 ± 55.16</t>
  </si>
  <si>
    <t>122.95 ± 44.65</t>
  </si>
  <si>
    <t>442.12 ± 217.45</t>
  </si>
  <si>
    <t>482.65 ± 223.52</t>
  </si>
  <si>
    <t>479.37 ± 222.28</t>
  </si>
  <si>
    <t>65.77 ± 34.13</t>
  </si>
  <si>
    <t>75.94 ± 35.39</t>
  </si>
  <si>
    <t>74.20 ± 35.21</t>
  </si>
  <si>
    <t>1.59 ± 1.07</t>
  </si>
  <si>
    <t>1.84 ± 0.96</t>
  </si>
  <si>
    <t>736.55 ± 220.35</t>
  </si>
  <si>
    <t>729.90 ± 206.64</t>
  </si>
  <si>
    <t>738.80 ± 236.19</t>
  </si>
  <si>
    <t>54.01 ± 21.00</t>
  </si>
  <si>
    <t>53.60 ± 19.56</t>
  </si>
  <si>
    <t>55.70 ± 22.64</t>
  </si>
  <si>
    <t>3.70 ± 1.14</t>
  </si>
  <si>
    <t>3.60 ± 1.59</t>
  </si>
  <si>
    <t>3.70 ± 1.49</t>
  </si>
  <si>
    <t>0.40</t>
  </si>
  <si>
    <t>872.54 ± 349.59</t>
  </si>
  <si>
    <t>1005.25 ± 408.32</t>
  </si>
  <si>
    <t>1003.36 ± 394.89</t>
  </si>
  <si>
    <t>155.70 ± 71.28</t>
  </si>
  <si>
    <t>187.35 ± 85.14</t>
  </si>
  <si>
    <t>189.53 ± 83.00</t>
  </si>
  <si>
    <t>2.43 ± 1.70</t>
  </si>
  <si>
    <t>2.82 ± 1.17</t>
  </si>
  <si>
    <t>2.89 ± 1.21</t>
  </si>
  <si>
    <t>0.56</t>
  </si>
  <si>
    <t>696.26 ± 276.71</t>
  </si>
  <si>
    <t>670.06 ± 327.80</t>
  </si>
  <si>
    <t>757.30 ± 309.10</t>
  </si>
  <si>
    <t>171.55 ± 98.21</t>
  </si>
  <si>
    <t>155.75 ± 106.17</t>
  </si>
  <si>
    <t>225.52 ± 125.68</t>
  </si>
  <si>
    <t>621.66 ± 245.08</t>
  </si>
  <si>
    <t>427.06 ± 184.70</t>
  </si>
  <si>
    <t>464.96 ± 165.59</t>
  </si>
  <si>
    <t>FB - high</t>
  </si>
  <si>
    <t>P</t>
  </si>
  <si>
    <t>d1</t>
  </si>
  <si>
    <t>d2</t>
  </si>
  <si>
    <t>d3</t>
  </si>
  <si>
    <t>cb1</t>
  </si>
  <si>
    <t>cb2</t>
  </si>
  <si>
    <t>cb3</t>
  </si>
  <si>
    <t>c</t>
  </si>
  <si>
    <t>b</t>
  </si>
  <si>
    <t>u1</t>
  </si>
  <si>
    <t>u2</t>
  </si>
  <si>
    <t>w1</t>
  </si>
  <si>
    <t>w2</t>
  </si>
  <si>
    <t>F-R</t>
  </si>
  <si>
    <t>17.00 ± 0.00</t>
  </si>
  <si>
    <t>16.52 ± 0.50</t>
  </si>
  <si>
    <t>29.60 ± 5.17</t>
  </si>
  <si>
    <t>24.28 ± 1.70</t>
  </si>
  <si>
    <t>0.41 ± 0.01</t>
  </si>
  <si>
    <t>0.52 ± 0.05</t>
  </si>
  <si>
    <t>0.52 ± 0.10</t>
  </si>
  <si>
    <t>0.53 ± 0.05</t>
  </si>
  <si>
    <t>12.84 ± 3.07</t>
  </si>
  <si>
    <t>94.42 ± 23.38</t>
  </si>
  <si>
    <t>82.42 ± 17.56</t>
  </si>
  <si>
    <t>88.27 ± 23.48</t>
  </si>
  <si>
    <t>136.12 ± 29.87</t>
  </si>
  <si>
    <t>1.50 ± 0.47</t>
  </si>
  <si>
    <t>2.50 ± 0.66</t>
  </si>
  <si>
    <t>0.96 ± 0.32</t>
  </si>
  <si>
    <t>3.05 ± 0.72</t>
  </si>
  <si>
    <t>1.96 ± 0.89</t>
  </si>
  <si>
    <t>109.24 ± 25.21</t>
  </si>
  <si>
    <t>98.87 ± 23.04</t>
  </si>
  <si>
    <t>107.91 ± 19.95</t>
  </si>
  <si>
    <t>149.16 ± 22.72</t>
  </si>
  <si>
    <t>3.00 ± 0.89</t>
  </si>
  <si>
    <t>5.32 ± 1.54</t>
  </si>
  <si>
    <t>2.12 ± 0.51</t>
  </si>
  <si>
    <t>5.61 ± 0.93</t>
  </si>
  <si>
    <t>3.27 ± 1.12</t>
  </si>
  <si>
    <t>87.29 ± 79.17</t>
  </si>
  <si>
    <t>60.84 ± 48.61</t>
  </si>
  <si>
    <t>166.86 ± 72.07</t>
  </si>
  <si>
    <t>191.80 ± 64.95</t>
  </si>
  <si>
    <t>2.52 ± 2.85</t>
  </si>
  <si>
    <t>2.31 ± 2.77</t>
  </si>
  <si>
    <t>4.68 ± 2.37</t>
  </si>
  <si>
    <t>7.47 ± 2.43</t>
  </si>
  <si>
    <t>134.68 ± 56.37</t>
  </si>
  <si>
    <t>3.22 ± 1.05</t>
  </si>
  <si>
    <t>175.88 ± 39.40</t>
  </si>
  <si>
    <t>138.37 ± 40.40</t>
  </si>
  <si>
    <t>162.73 ± 29.43</t>
  </si>
  <si>
    <t>236.94 ± 56.29</t>
  </si>
  <si>
    <t>7.21 ± 1.98</t>
  </si>
  <si>
    <t>11.51 ± 5.19</t>
  </si>
  <si>
    <t>4.48 ± 1.11</t>
  </si>
  <si>
    <t>12.32 ± 4.28</t>
  </si>
  <si>
    <t>121.74 ± 39.70</t>
  </si>
  <si>
    <t>76.20 ± 9.55</t>
  </si>
  <si>
    <t>135.08 ± 16.73</t>
  </si>
  <si>
    <t>180.94 ± 16.52</t>
  </si>
  <si>
    <t>16.45 ± 8.35</t>
  </si>
  <si>
    <t>7.09 ± 1.76</t>
  </si>
  <si>
    <t>12.65 ± 2.64</t>
  </si>
  <si>
    <t>26.80 ± 3.78</t>
  </si>
  <si>
    <t>76.44 ± 9.70</t>
  </si>
  <si>
    <t>462.81 ± 351.41</t>
  </si>
  <si>
    <t>520.19 ± 192.05</t>
  </si>
  <si>
    <t>551.14 ± 222.97</t>
  </si>
  <si>
    <t>463.65 ± 308.59</t>
  </si>
  <si>
    <t>1.38 ± 0.95</t>
  </si>
  <si>
    <t>138.50 ± 45.88</t>
  </si>
  <si>
    <t>136.72 ± 57.40</t>
  </si>
  <si>
    <t>137.25 ± 82.38</t>
  </si>
  <si>
    <t>133.48 ± 95.58</t>
  </si>
  <si>
    <t>770.42 ± 207.47</t>
  </si>
  <si>
    <t>685.90 ± 135.80</t>
  </si>
  <si>
    <t>701.68 ± 167.25</t>
  </si>
  <si>
    <t>879.92 ± 162.38</t>
  </si>
  <si>
    <t>3.96 ± 1.28</t>
  </si>
  <si>
    <t>88.29 ± 27.67</t>
  </si>
  <si>
    <t>75.65 ± 17.99</t>
  </si>
  <si>
    <t>74.69 ± 22.55</t>
  </si>
  <si>
    <t>100.61 ± 22.33</t>
  </si>
  <si>
    <t>572.88 ± 263.49</t>
  </si>
  <si>
    <t>641.08 ± 296.93</t>
  </si>
  <si>
    <t>174.30 ± 115.87</t>
  </si>
  <si>
    <t>736.06 ± 282.71</t>
  </si>
  <si>
    <t>298.73 ± 123.03</t>
  </si>
  <si>
    <t>360.23 ± 372.78</t>
  </si>
  <si>
    <t>86.96 ± 97.34</t>
  </si>
  <si>
    <t>257.42 ± 260.81</t>
  </si>
  <si>
    <t>89.12 ± 116.40</t>
  </si>
  <si>
    <t>MakeTrue-cost=1</t>
  </si>
  <si>
    <t>MakeTrue-cost=5</t>
  </si>
  <si>
    <t>MakeTrue-cost=20</t>
  </si>
  <si>
    <t>MakeTrue - 1</t>
  </si>
  <si>
    <t>MakeTrue - 20</t>
  </si>
  <si>
    <t>26.72 ± 4.17</t>
  </si>
  <si>
    <t>23.34 ± 1.73</t>
  </si>
  <si>
    <t>0.91 ± 0.28</t>
  </si>
  <si>
    <t>1.00 ± 0.14</t>
  </si>
  <si>
    <t>11.08 ± 3.19</t>
  </si>
  <si>
    <t>10.12 ± 2.78</t>
  </si>
  <si>
    <t>0.31 ± 0.23</t>
  </si>
  <si>
    <t>0.31 ± 0.25</t>
  </si>
  <si>
    <t>0.30 ± 0.22</t>
  </si>
  <si>
    <t>90.94 ± 17.19</t>
  </si>
  <si>
    <t>138.96 ± 27.56</t>
  </si>
  <si>
    <t>0.88 ± 0.21</t>
  </si>
  <si>
    <t>2.52 ± 0.57</t>
  </si>
  <si>
    <t>101.14 ± 14.24</t>
  </si>
  <si>
    <t>78.32 ± 16.91</t>
  </si>
  <si>
    <t>79.00 ± 17.34</t>
  </si>
  <si>
    <t>82.12 ± 16.03</t>
  </si>
  <si>
    <t>1.33 ± 0.28</t>
  </si>
  <si>
    <t>1.86 ± 0.41</t>
  </si>
  <si>
    <t>1.94 ± 0.40</t>
  </si>
  <si>
    <t>2.39 ± 0.48</t>
  </si>
  <si>
    <t>111.14 ± 23.39</t>
  </si>
  <si>
    <t>101.58 ± 24.91</t>
  </si>
  <si>
    <t>103.62 ± 24.25</t>
  </si>
  <si>
    <t>101.28 ± 24.84</t>
  </si>
  <si>
    <t>2.66 ± 0.71</t>
  </si>
  <si>
    <t>4.59 ± 1.18</t>
  </si>
  <si>
    <t>4.78 ± 1.26</t>
  </si>
  <si>
    <t>5.16 ± 1.31</t>
  </si>
  <si>
    <t>103.96 ± 24.94</t>
  </si>
  <si>
    <t>155.64 ± 21.49</t>
  </si>
  <si>
    <t>1.96 ± 0.62</t>
  </si>
  <si>
    <t>5.13 ± 0.81</t>
  </si>
  <si>
    <t>2.84 ± 1.32</t>
  </si>
  <si>
    <t>78.65 ± 86.08</t>
  </si>
  <si>
    <t>59.96 ± 63.02</t>
  </si>
  <si>
    <t>63.43 ± 59.41</t>
  </si>
  <si>
    <t>65.37 ± 62.84</t>
  </si>
  <si>
    <t>2.40 ± 3.20</t>
  </si>
  <si>
    <t>2.66 ± 3.89</t>
  </si>
  <si>
    <t>2.83 ± 3.78</t>
  </si>
  <si>
    <t>3.19 ± 4.21</t>
  </si>
  <si>
    <t>176.08 ± 66.28</t>
  </si>
  <si>
    <t>212.27 ± 64.13</t>
  </si>
  <si>
    <t>5.62 ± 2.37</t>
  </si>
  <si>
    <t>9.16 ± 2.57</t>
  </si>
  <si>
    <t>143.22 ± 51.56</t>
  </si>
  <si>
    <t>55.54 ± 33.89</t>
  </si>
  <si>
    <t>2.18 ± 2.65</t>
  </si>
  <si>
    <t>3.30 ± 5.28</t>
  </si>
  <si>
    <t>3.40 ± 5.71</t>
  </si>
  <si>
    <t>3.39 ± 5.78</t>
  </si>
  <si>
    <t>104.26 ± 63.75</t>
  </si>
  <si>
    <t>105.26 ± 63.75</t>
  </si>
  <si>
    <t>7.32 ± 5.16</t>
  </si>
  <si>
    <t>6.89 ± 4.31</t>
  </si>
  <si>
    <t>42.10 ± 24.78</t>
  </si>
  <si>
    <t>185.24 ± 40.17</t>
  </si>
  <si>
    <t>143.80 ± 32.46</t>
  </si>
  <si>
    <t>143.80 ± 33.16</t>
  </si>
  <si>
    <t>143.84 ± 32.48</t>
  </si>
  <si>
    <t>8.13 ± 2.25</t>
  </si>
  <si>
    <t>11.45 ± 2.76</t>
  </si>
  <si>
    <t>11.90 ± 3.19</t>
  </si>
  <si>
    <t>12.27 ± 3.29</t>
  </si>
  <si>
    <t>173.04 ± 47.02</t>
  </si>
  <si>
    <t>247.46 ± 50.20</t>
  </si>
  <si>
    <t>5.68 ± 2.03</t>
  </si>
  <si>
    <t>14.23 ± 3.75</t>
  </si>
  <si>
    <t>3.26 ± 1.31</t>
  </si>
  <si>
    <t>109.54 ± 39.30</t>
  </si>
  <si>
    <t>76.22 ± 12.48</t>
  </si>
  <si>
    <t>75.98 ± 11.89</t>
  </si>
  <si>
    <t>74.38 ± 12.39</t>
  </si>
  <si>
    <t>20.07 ± 12.84</t>
  </si>
  <si>
    <t>10.81 ± 6.16</t>
  </si>
  <si>
    <t>10.93 ± 5.27</t>
  </si>
  <si>
    <t>10.74 ± 4.76</t>
  </si>
  <si>
    <t>139.64 ± 16.43</t>
  </si>
  <si>
    <t>187.16 ± 11.17</t>
  </si>
  <si>
    <t>20.36 ± 3.99</t>
  </si>
  <si>
    <t>43.56 ± 5.03</t>
  </si>
  <si>
    <t>77.58 ± 8.40</t>
  </si>
  <si>
    <t>76.32 ± 67.30</t>
  </si>
  <si>
    <t>9.72 ± 16.50</t>
  </si>
  <si>
    <t>14.90 ± 32.62</t>
  </si>
  <si>
    <t>15.69 ± 33.89</t>
  </si>
  <si>
    <t>15.47 ± 34.37</t>
  </si>
  <si>
    <t>210.32 ± 177.57</t>
  </si>
  <si>
    <t>211.12 ± 177.25</t>
  </si>
  <si>
    <t>53.92 ± 54.20</t>
  </si>
  <si>
    <t>49.08 ± 46.25</t>
  </si>
  <si>
    <t>90.06 ± 74.64</t>
  </si>
  <si>
    <t>29.24 ± 5.14</t>
  </si>
  <si>
    <t>24.52 ± 1.97</t>
  </si>
  <si>
    <t>1.18 ± 0.24</t>
  </si>
  <si>
    <t>1.14 ± 0.14</t>
  </si>
  <si>
    <t>12.80 ± 3.42</t>
  </si>
  <si>
    <t>0.96 ± 0.06</t>
  </si>
  <si>
    <t>1.15 ± 0.08</t>
  </si>
  <si>
    <t>1.10 ± 0.07</t>
  </si>
  <si>
    <t>1.21 ± 0.11</t>
  </si>
  <si>
    <t>100.52 ± 20.93</t>
  </si>
  <si>
    <t>83.54 ± 17.28</t>
  </si>
  <si>
    <t>80.94 ± 15.17</t>
  </si>
  <si>
    <t>82.70 ± 16.65</t>
  </si>
  <si>
    <t>1.33 ± 0.33</t>
  </si>
  <si>
    <t>2.02 ± 0.42</t>
  </si>
  <si>
    <t>2.05 ± 0.41</t>
  </si>
  <si>
    <t>2.46 ± 0.52</t>
  </si>
  <si>
    <t>115.52 ± 18.79</t>
  </si>
  <si>
    <t>105.28 ± 23.12</t>
  </si>
  <si>
    <t>106.44 ± 23.88</t>
  </si>
  <si>
    <t>105.48 ± 24.43</t>
  </si>
  <si>
    <t>2.79 ± 0.55</t>
  </si>
  <si>
    <t>4.73 ± 1.19</t>
  </si>
  <si>
    <t>4.96 ± 1.15</t>
  </si>
  <si>
    <t>5.56 ± 1.47</t>
  </si>
  <si>
    <t>96.22 ± 91.90</t>
  </si>
  <si>
    <t>67.31 ± 60.14</t>
  </si>
  <si>
    <t>60.39 ± 46.72</t>
  </si>
  <si>
    <t>72.10 ± 66.93</t>
  </si>
  <si>
    <t>3.10 ± 3.27</t>
  </si>
  <si>
    <t>3.15 ± 3.54</t>
  </si>
  <si>
    <t>2.72 ± 2.81</t>
  </si>
  <si>
    <t>3.62 ± 4.11</t>
  </si>
  <si>
    <t>104.00 ± 68.49</t>
  </si>
  <si>
    <t>118.88 ± 72.83</t>
  </si>
  <si>
    <t>7.65 ± 4.36</t>
  </si>
  <si>
    <t>14.45 ± 8.30</t>
  </si>
  <si>
    <t>16.72 ± 9.88</t>
  </si>
  <si>
    <t>16.41 ± 9.90</t>
  </si>
  <si>
    <t>184.90 ± 46.24</t>
  </si>
  <si>
    <t>148.02 ± 38.83</t>
  </si>
  <si>
    <t>153.10 ± 36.67</t>
  </si>
  <si>
    <t>146.16 ± 34.32</t>
  </si>
  <si>
    <t>164.26 ± 32.38</t>
  </si>
  <si>
    <t>250.36 ± 57.72</t>
  </si>
  <si>
    <t>7.85 ± 2.46</t>
  </si>
  <si>
    <t>11.50 ± 3.40</t>
  </si>
  <si>
    <t>12.39 ± 3.17</t>
  </si>
  <si>
    <t>12.13 ± 3.28</t>
  </si>
  <si>
    <t>5.32 ± 1.41</t>
  </si>
  <si>
    <t>14.75 ± 3.89</t>
  </si>
  <si>
    <t>127.82 ± 30.86</t>
  </si>
  <si>
    <t>78.84 ± 8.54</t>
  </si>
  <si>
    <t>82.66 ± 7.16</t>
  </si>
  <si>
    <t>80.44 ± 9.47</t>
  </si>
  <si>
    <t>26.06 ± 9.52</t>
  </si>
  <si>
    <t>11.74 ± 2.80</t>
  </si>
  <si>
    <t>12.97 ± 3.15</t>
  </si>
  <si>
    <t>12.86 ± 2.21</t>
  </si>
  <si>
    <t>141.98 ± 14.85</t>
  </si>
  <si>
    <t>187.00 ± 7.94</t>
  </si>
  <si>
    <t>20.55 ± 3.33</t>
  </si>
  <si>
    <t>43.32 ± 5.25</t>
  </si>
  <si>
    <t>78.66 ± 7.59</t>
  </si>
  <si>
    <t>93.40 ± 20.05</t>
  </si>
  <si>
    <t>137.86 ± 21.70</t>
  </si>
  <si>
    <t>0.91 ± 0.25</t>
  </si>
  <si>
    <t>2.51 ± 0.45</t>
  </si>
  <si>
    <t>104.58 ± 24.44</t>
  </si>
  <si>
    <t>146.28 ± 23.96</t>
  </si>
  <si>
    <t>1.96 ± 0.64</t>
  </si>
  <si>
    <t>4.84 ± 0.88</t>
  </si>
  <si>
    <t>2.94 ± 1.26</t>
  </si>
  <si>
    <t>2.16 ± 0.90</t>
  </si>
  <si>
    <t>184.31 ± 70.97</t>
  </si>
  <si>
    <t>197.78 ± 69.17</t>
  </si>
  <si>
    <t>5.87 ± 2.53</t>
  </si>
  <si>
    <t>8.56 ± 2.75</t>
  </si>
  <si>
    <t>106.06 ± 65.32</t>
  </si>
  <si>
    <t>107.26 ± 65.32</t>
  </si>
  <si>
    <t>7.03 ± 4.89</t>
  </si>
  <si>
    <t>7.12 ± 4.47</t>
  </si>
  <si>
    <t>42.54 ± 25.48</t>
  </si>
  <si>
    <t>148.84 ± 55.13</t>
  </si>
  <si>
    <t>3.06 ± 1.05</t>
  </si>
  <si>
    <t>92.68 ± 18.96</t>
  </si>
  <si>
    <t>103.50 ± 24.03</t>
  </si>
  <si>
    <t>81.08 ± 17.75</t>
  </si>
  <si>
    <t>82.46 ± 23.60</t>
  </si>
  <si>
    <t>1.13 ± 0.34</t>
  </si>
  <si>
    <t>2.34 ± 0.62</t>
  </si>
  <si>
    <t>3.20 ± 0.80</t>
  </si>
  <si>
    <t>3.66 ± 0.99</t>
  </si>
  <si>
    <t>1.94 ± 0.79</t>
  </si>
  <si>
    <t>0.38 ± 0.69</t>
  </si>
  <si>
    <t>0.44 ± 0.61</t>
  </si>
  <si>
    <t>0.44 ± 0.64</t>
  </si>
  <si>
    <t>106.52 ± 22.54</t>
  </si>
  <si>
    <t>112.54 ± 22.56</t>
  </si>
  <si>
    <t>104.40 ± 21.00</t>
  </si>
  <si>
    <t>106.02 ± 20.77</t>
  </si>
  <si>
    <t>2.51 ± 0.74</t>
  </si>
  <si>
    <t>4.32 ± 1.03</t>
  </si>
  <si>
    <t>6.92 ± 1.68</t>
  </si>
  <si>
    <t>7.45 ± 1.95</t>
  </si>
  <si>
    <t>3.26 ± 1.32</t>
  </si>
  <si>
    <t>0.58 ± 0.75</t>
  </si>
  <si>
    <t>0.80 ± 0.82</t>
  </si>
  <si>
    <t>0.84 ± 0.73</t>
  </si>
  <si>
    <t>170.84 ± 38.86</t>
  </si>
  <si>
    <t>184.68 ± 45.43</t>
  </si>
  <si>
    <t>152.74 ± 28.93</t>
  </si>
  <si>
    <t>151.24 ± 30.73</t>
  </si>
  <si>
    <t>4.08 ± 1.38</t>
  </si>
  <si>
    <t>7.14 ± 2.13</t>
  </si>
  <si>
    <t>10.83 ± 2.33</t>
  </si>
  <si>
    <t>11.20 ± 2.57</t>
  </si>
  <si>
    <t>2.88 ± 1.19</t>
  </si>
  <si>
    <t>0.62 ± 0.77</t>
  </si>
  <si>
    <t>0.72 ± 0.75</t>
  </si>
  <si>
    <t>0.88 ± 0.86</t>
  </si>
  <si>
    <t>762.20 ± 186.73</t>
  </si>
  <si>
    <t>719.54 ± 215.44</t>
  </si>
  <si>
    <t>727.20 ± 212.08</t>
  </si>
  <si>
    <t>742.62 ± 221.08</t>
  </si>
  <si>
    <t>58.55 ± 18.98</t>
  </si>
  <si>
    <t>54.93 ± 20.31</t>
  </si>
  <si>
    <t>56.68 ± 20.49</t>
  </si>
  <si>
    <t>58.91 ± 21.46</t>
  </si>
  <si>
    <t>3.96 ± 1.40</t>
  </si>
  <si>
    <t>0.96 ± 1.02</t>
  </si>
  <si>
    <t>0.94 ± 1.08</t>
  </si>
  <si>
    <t>0.90 ± 1.10</t>
  </si>
  <si>
    <t>135.40 ± 19.30</t>
  </si>
  <si>
    <t>95.34 ± 26.58</t>
  </si>
  <si>
    <t>85.04 ± 13.77</t>
  </si>
  <si>
    <t>86.62 ± 15.61</t>
  </si>
  <si>
    <t>12.46 ± 2.71</t>
  </si>
  <si>
    <t>9.69 ± 6.36</t>
  </si>
  <si>
    <t>8.23 ± 4.01</t>
  </si>
  <si>
    <t>8.70 ± 4.24</t>
  </si>
  <si>
    <t>77.00 ± 9.52</t>
  </si>
  <si>
    <t>16.86 ± 4.05</t>
  </si>
  <si>
    <t>16.34 ± 3.90</t>
  </si>
  <si>
    <t>16.42 ± 4.13</t>
  </si>
  <si>
    <t>29.48 ± 5.40</t>
  </si>
  <si>
    <t>14.46 ± 3.65</t>
  </si>
  <si>
    <t>0.69 ± 0.26</t>
  </si>
  <si>
    <t>0.35 ± 0.25</t>
  </si>
  <si>
    <t>0.36 ± 0.18</t>
  </si>
  <si>
    <t>0.35 ± 0.20</t>
  </si>
  <si>
    <t>12.98 ± 3.71</t>
  </si>
  <si>
    <t>2.90 ± 1.45</t>
  </si>
  <si>
    <t>167.58 ± 71.43</t>
  </si>
  <si>
    <t>118.16 ± 78.65</t>
  </si>
  <si>
    <t>101.86 ± 58.71</t>
  </si>
  <si>
    <t>98.48 ± 55.05</t>
  </si>
  <si>
    <t>4.31 ± 2.22</t>
  </si>
  <si>
    <t>3.03 ± 2.53</t>
  </si>
  <si>
    <t>3.55 ± 3.30</t>
  </si>
  <si>
    <t>3.48 ± 3.14</t>
  </si>
  <si>
    <t>135.58 ± 56.37</t>
  </si>
  <si>
    <t>30.62 ± 13.19</t>
  </si>
  <si>
    <t>31.30 ± 11.81</t>
  </si>
  <si>
    <t>31.62 ± 11.43</t>
  </si>
  <si>
    <t>93.64 ± 54.03</t>
  </si>
  <si>
    <t>90.50 ± 29.68</t>
  </si>
  <si>
    <t>90.48 ± 29.66</t>
  </si>
  <si>
    <t>90.52 ± 29.71</t>
  </si>
  <si>
    <t>3.84 ± 2.62</t>
  </si>
  <si>
    <t>2.32 ± 1.01</t>
  </si>
  <si>
    <t>2.43 ± 1.58</t>
  </si>
  <si>
    <t>2.46 ± 1.62</t>
  </si>
  <si>
    <t>38.04 ± 21.17</t>
  </si>
  <si>
    <t>15.52 ± 4.83</t>
  </si>
  <si>
    <t>91.32 ± 20.96</t>
  </si>
  <si>
    <t>118.18 ± 23.69</t>
  </si>
  <si>
    <t>93.58 ± 21.45</t>
  </si>
  <si>
    <t>99.16 ± 22.08</t>
  </si>
  <si>
    <t>0.96 ± 0.33</t>
  </si>
  <si>
    <t>3.02 ± 0.70</t>
  </si>
  <si>
    <t>4.93 ± 1.15</t>
  </si>
  <si>
    <t>5.62 ± 1.18</t>
  </si>
  <si>
    <t>2.02 ± 0.93</t>
  </si>
  <si>
    <t>1.66 ± 0.99</t>
  </si>
  <si>
    <t>1.62 ± 0.94</t>
  </si>
  <si>
    <t>1.78 ± 1.03</t>
  </si>
  <si>
    <t>105.58 ± 20.53</t>
  </si>
  <si>
    <t>135.80 ± 26.35</t>
  </si>
  <si>
    <t>122.98 ± 22.64</t>
  </si>
  <si>
    <t>119.70 ± 27.07</t>
  </si>
  <si>
    <t>1.69 ± 0.44</t>
  </si>
  <si>
    <t>5.27 ± 1.21</t>
  </si>
  <si>
    <t>9.82 ± 2.26</t>
  </si>
  <si>
    <t>10.13 ± 2.36</t>
  </si>
  <si>
    <t>3.06 ± 1.14</t>
  </si>
  <si>
    <t>2.26 ± 1.05</t>
  </si>
  <si>
    <t>3.14 ± 1.28</t>
  </si>
  <si>
    <t>3.00 ± 1.34</t>
  </si>
  <si>
    <t>169.28 ± 33.97</t>
  </si>
  <si>
    <t>235.44 ± 46.50</t>
  </si>
  <si>
    <t>173.70 ± 37.17</t>
  </si>
  <si>
    <t>175.88 ± 41.80</t>
  </si>
  <si>
    <t>4.52 ± 1.18</t>
  </si>
  <si>
    <t>15.08 ± 3.65</t>
  </si>
  <si>
    <t>26.37 ± 23.98</t>
  </si>
  <si>
    <t>24.99 ± 24.88</t>
  </si>
  <si>
    <t>3.18 ± 1.13</t>
  </si>
  <si>
    <t>2.32 ± 1.26</t>
  </si>
  <si>
    <t>2.92 ± 1.44</t>
  </si>
  <si>
    <t>3.02 ± 1.41</t>
  </si>
  <si>
    <t>716.08 ± 204.04</t>
  </si>
  <si>
    <t>833.08 ± 226.26</t>
  </si>
  <si>
    <t>811.54 ± 228.59</t>
  </si>
  <si>
    <t>799.14 ± 242.67</t>
  </si>
  <si>
    <t>43.17 ± 14.68</t>
  </si>
  <si>
    <t>81.12 ± 33.09</t>
  </si>
  <si>
    <t>55.18 ± 18.60</t>
  </si>
  <si>
    <t>53.37 ± 18.70</t>
  </si>
  <si>
    <t>4.16 ± 1.99</t>
  </si>
  <si>
    <t>4.64 ± 1.68</t>
  </si>
  <si>
    <t>4.60 ± 1.74</t>
  </si>
  <si>
    <t>4.54 ± 1.76</t>
  </si>
  <si>
    <t>491.58 ± 251.96</t>
  </si>
  <si>
    <t>476.58 ± 268.05</t>
  </si>
  <si>
    <t>474.48 ± 262.77</t>
  </si>
  <si>
    <t>476.78 ± 267.08</t>
  </si>
  <si>
    <t>70.61 ± 36.16</t>
  </si>
  <si>
    <t>69.58 ± 37.27</t>
  </si>
  <si>
    <t>67.19 ± 36.47</t>
  </si>
  <si>
    <t>63.85 ± 35.31</t>
  </si>
  <si>
    <t>1.58 ± 1.13</t>
  </si>
  <si>
    <t>1.72 ± 0.96</t>
  </si>
  <si>
    <t>1.70 ± 0.94</t>
  </si>
  <si>
    <t>1.68 ± 0.95</t>
  </si>
  <si>
    <t>135.34 ± 18.57</t>
  </si>
  <si>
    <t>141.00 ± 21.84</t>
  </si>
  <si>
    <t>137.08 ± 16.84</t>
  </si>
  <si>
    <t>133.10 ± 15.97</t>
  </si>
  <si>
    <t>9.78 ± 2.30</t>
  </si>
  <si>
    <t>14.01 ± 4.29</t>
  </si>
  <si>
    <t>13.24 ± 3.22</t>
  </si>
  <si>
    <t>12.94 ± 3.05</t>
  </si>
  <si>
    <t>76.76 ± 9.21</t>
  </si>
  <si>
    <t>60.48 ± 8.14</t>
  </si>
  <si>
    <t>59.46 ± 6.99</t>
  </si>
  <si>
    <t>57.64 ± 7.23</t>
  </si>
  <si>
    <t>28.28 ± 4.34</t>
  </si>
  <si>
    <t>28.51 ± 6.41</t>
  </si>
  <si>
    <t>28.36 ± 6.01</t>
  </si>
  <si>
    <t>28.38 ± 6.03</t>
  </si>
  <si>
    <t>0.38 ± 0.12</t>
  </si>
  <si>
    <t>0.42 ± 0.12</t>
  </si>
  <si>
    <t>0.46 ± 0.16</t>
  </si>
  <si>
    <t>0.50 ± 0.22</t>
  </si>
  <si>
    <t>12.32 ± 3.04</t>
  </si>
  <si>
    <t>11.53 ± 3.28</t>
  </si>
  <si>
    <t>174.92 ± 64.99</t>
  </si>
  <si>
    <t>195.24 ± 68.71</t>
  </si>
  <si>
    <t>186.37 ± 74.87</t>
  </si>
  <si>
    <t>179.98 ± 62.94</t>
  </si>
  <si>
    <t>3.22 ± 1.44</t>
  </si>
  <si>
    <t>3.76 ± 1.65</t>
  </si>
  <si>
    <t>4.41 ± 2.24</t>
  </si>
  <si>
    <t>4.38 ± 1.99</t>
  </si>
  <si>
    <t>140.80 ± 51.39</t>
  </si>
  <si>
    <t>112.71 ± 31.89</t>
  </si>
  <si>
    <t>107.24 ± 36.05</t>
  </si>
  <si>
    <t>107.33 ± 31.42</t>
  </si>
  <si>
    <t>92.38 ± 63.40</t>
  </si>
  <si>
    <t>191.66 ± 57.21</t>
  </si>
  <si>
    <t>4.77 ± 3.60</t>
  </si>
  <si>
    <t>9.30 ± 2.66</t>
  </si>
  <si>
    <t>10.04 ± 3.65</t>
  </si>
  <si>
    <t>9.84 ± 3.64</t>
  </si>
  <si>
    <t>37.10 ± 24.44</t>
  </si>
  <si>
    <t>58.06 ± 12.47</t>
  </si>
  <si>
    <t>198.44 ± 165.33</t>
  </si>
  <si>
    <t>445.96 ± 121.52</t>
  </si>
  <si>
    <t>445.78 ± 121.55</t>
  </si>
  <si>
    <t>26.62 ± 27.43</t>
  </si>
  <si>
    <t>57.35 ± 16.31</t>
  </si>
  <si>
    <t>71.55 ± 23.87</t>
  </si>
  <si>
    <t>76.47 ± 25.11</t>
  </si>
  <si>
    <t>85.68 ± 70.11</t>
  </si>
  <si>
    <t>137.08 ± 28.83</t>
  </si>
  <si>
    <t>159.68 ± 123.25</t>
  </si>
  <si>
    <t>217.60 ± 124.75</t>
  </si>
  <si>
    <t>209.52 ± 111.19</t>
  </si>
  <si>
    <t>209.38 ± 111.83</t>
  </si>
  <si>
    <t>27.02 ± 27.98</t>
  </si>
  <si>
    <t>24.86 ± 20.89</t>
  </si>
  <si>
    <t>31.07 ± 38.08</t>
  </si>
  <si>
    <t>32.61 ± 39.59</t>
  </si>
  <si>
    <t>68.62 ± 51.04</t>
  </si>
  <si>
    <t>35.78 ± 9.50</t>
  </si>
  <si>
    <t>35.76 ± 9.48</t>
  </si>
  <si>
    <t>460.94 ± 251.39</t>
  </si>
  <si>
    <t>528.54 ± 282.21</t>
  </si>
  <si>
    <t>537.98 ± 283.76</t>
  </si>
  <si>
    <t>518.22 ± 276.49</t>
  </si>
  <si>
    <t>78.65 ± 44.20</t>
  </si>
  <si>
    <t>95.52 ± 51.06</t>
  </si>
  <si>
    <t>98.56 ± 55.02</t>
  </si>
  <si>
    <t>95.24 ± 48.27</t>
  </si>
  <si>
    <t>FR</t>
  </si>
  <si>
    <t>FN - true</t>
  </si>
  <si>
    <t>700.68 ± 273.18</t>
  </si>
  <si>
    <t>442.78 ± 357.29</t>
  </si>
  <si>
    <t>355.60 ± 264.62</t>
  </si>
  <si>
    <t>359.78 ± 281.38</t>
  </si>
  <si>
    <t>171.02 ± 98.20</t>
  </si>
  <si>
    <t>83.93 ± 90.15</t>
  </si>
  <si>
    <t>88.42 ± 105.71</t>
  </si>
  <si>
    <t>89.14 ± 112.65</t>
  </si>
  <si>
    <t>626.56 ± 240.98</t>
  </si>
  <si>
    <t>130.78 ± 50.96</t>
  </si>
  <si>
    <t>125.32 ± 50.80</t>
  </si>
  <si>
    <t>126.12 ± 50.48</t>
  </si>
  <si>
    <t>891.14 ± 292.02</t>
  </si>
  <si>
    <t>856.80 ± 333.59</t>
  </si>
  <si>
    <t>822.46 ± 355.56</t>
  </si>
  <si>
    <t>884.78 ± 335.71</t>
  </si>
  <si>
    <t>2.54 ± 1.69</t>
  </si>
  <si>
    <t>3.06 ± 1.41</t>
  </si>
  <si>
    <t>3.06 ± 1.38</t>
  </si>
  <si>
    <t>131.10 ± 54.11</t>
  </si>
  <si>
    <t>121.18 ± 55.29</t>
  </si>
  <si>
    <t>127.47 ± 53.85</t>
  </si>
  <si>
    <t>145.46 ± 55.87</t>
  </si>
  <si>
    <t>3.04 ± 1.46</t>
  </si>
  <si>
    <t>FBH</t>
  </si>
  <si>
    <t>FNT</t>
  </si>
  <si>
    <t>d11</t>
  </si>
  <si>
    <t>d13</t>
  </si>
  <si>
    <t>d15</t>
  </si>
  <si>
    <t>c9-3</t>
  </si>
  <si>
    <t>c11-1</t>
  </si>
  <si>
    <t>c11-2</t>
  </si>
  <si>
    <t>clog</t>
  </si>
  <si>
    <t>b7</t>
  </si>
  <si>
    <t>u3</t>
  </si>
  <si>
    <t>w10</t>
  </si>
  <si>
    <t>w15</t>
  </si>
  <si>
    <t>A</t>
  </si>
  <si>
    <t>142.85 ± 120.52</t>
  </si>
  <si>
    <t>128.20 ± 94.07</t>
  </si>
  <si>
    <t>31.35 ± 25.30</t>
  </si>
  <si>
    <t>54.74 ± 42.02</t>
  </si>
  <si>
    <t>54.74 ± 43.17</t>
  </si>
  <si>
    <t>61.67 ± 48.29</t>
  </si>
  <si>
    <t>205.00 ± 161.90</t>
  </si>
  <si>
    <t>206.00 ± 161.90</t>
  </si>
  <si>
    <t>51.67 ± 48.58</t>
  </si>
  <si>
    <t>47.26 ± 42.03</t>
  </si>
  <si>
    <t>87.46 ± 67.55</t>
  </si>
  <si>
    <t>857.82 ± 337.71</t>
  </si>
  <si>
    <t>830.14 ± 272.49</t>
  </si>
  <si>
    <t>888.06 ± 279.83</t>
  </si>
  <si>
    <t>841.50 ± 265.59</t>
  </si>
  <si>
    <t>159.97 ± 73.50</t>
  </si>
  <si>
    <t>149.89 ± 52.49</t>
  </si>
  <si>
    <t>161.58 ± 57.90</t>
  </si>
  <si>
    <t>149.78 ± 49.61</t>
  </si>
  <si>
    <t>0.78 ± 0.81</t>
  </si>
  <si>
    <t>0.90 ± 0.85</t>
  </si>
  <si>
    <t>2.72 ± 1.41</t>
  </si>
  <si>
    <t>698.42 ± 304.40</t>
  </si>
  <si>
    <t>725.36 ± 290.96</t>
  </si>
  <si>
    <t>842.78 ± 300.40</t>
  </si>
  <si>
    <t>814.78 ± 290.82</t>
  </si>
  <si>
    <t>132.63 ± 79.80</t>
  </si>
  <si>
    <t>121.14 ± 70.26</t>
  </si>
  <si>
    <t>178.42 ± 88.16</t>
  </si>
  <si>
    <t>171.98 ± 85.24</t>
  </si>
  <si>
    <t>504.34 ± 156.07</t>
  </si>
  <si>
    <t>513.24 ± 158.24</t>
  </si>
  <si>
    <t>460.14 ± 167.89</t>
  </si>
  <si>
    <t>622.52 ± 270.97</t>
  </si>
  <si>
    <t>672.60 ± 240.64</t>
  </si>
  <si>
    <t>698.00 ± 209.32</t>
  </si>
  <si>
    <t>682.28 ± 214.69</t>
  </si>
  <si>
    <t>721.72 ± 221.63</t>
  </si>
  <si>
    <t>111.40 ± 46.56</t>
  </si>
  <si>
    <t>118.21 ± 42.00</t>
  </si>
  <si>
    <t>116.93 ± 42.60</t>
  </si>
  <si>
    <t>125.94 ± 45.71</t>
  </si>
  <si>
    <t>730.38 ± 266.41</t>
  </si>
  <si>
    <t>827.24 ± 219.88</t>
  </si>
  <si>
    <t>129.72 ± 56.80</t>
  </si>
  <si>
    <t>149.01 ± 48.27</t>
  </si>
  <si>
    <t>3.56 ± 1.55</t>
  </si>
  <si>
    <t>430.04 ± 238.02</t>
  </si>
  <si>
    <t>459.06 ± 254.01</t>
  </si>
  <si>
    <t>445.54 ± 221.06</t>
  </si>
  <si>
    <t>542.06 ± 255.21</t>
  </si>
  <si>
    <t>177.11 ± 97.81</t>
  </si>
  <si>
    <t>192.71 ± 103.91</t>
  </si>
  <si>
    <t>187.04 ± 95.11</t>
  </si>
  <si>
    <t>230.48 ± 109.98</t>
  </si>
  <si>
    <t>423.36 ± 206.18</t>
  </si>
  <si>
    <t>503.26 ± 255.99</t>
  </si>
  <si>
    <t>165.63 ± 79.47</t>
  </si>
  <si>
    <t>214.70 ± 99.12</t>
  </si>
  <si>
    <t>1.52 ± 0.88</t>
  </si>
  <si>
    <t>736.87 ± 241.16</t>
  </si>
  <si>
    <t>666.70 ± 191.13</t>
  </si>
  <si>
    <t>724.28 ± 203.30</t>
  </si>
  <si>
    <t>709.56 ± 203.16</t>
  </si>
  <si>
    <t>92.64 ± 34.53</t>
  </si>
  <si>
    <t>88.20 ± 29.15</t>
  </si>
  <si>
    <t>101.64 ± 37.18</t>
  </si>
  <si>
    <t>109.42 ± 32.70</t>
  </si>
  <si>
    <t>723.50 ± 206.79</t>
  </si>
  <si>
    <t>778.34 ± 267.02</t>
  </si>
  <si>
    <t>108.55 ± 36.46</t>
  </si>
  <si>
    <t>121.88 ± 45.72</t>
  </si>
  <si>
    <t>3.86 ± 1.67</t>
  </si>
  <si>
    <t>running in ecai</t>
  </si>
  <si>
    <t>running in old ecai</t>
  </si>
  <si>
    <t>pessimistic times out a lot. Others a little</t>
  </si>
  <si>
    <t>73.96 ± 17.99</t>
  </si>
  <si>
    <t>93.00 ± 19.52</t>
  </si>
  <si>
    <t>140.72 ± 33.60</t>
  </si>
  <si>
    <t>1.03 ± 0.30</t>
  </si>
  <si>
    <t>3.13 ± 0.92</t>
  </si>
  <si>
    <t>2.02 ± 0.91</t>
  </si>
  <si>
    <t>88.24 ± 17.45</t>
  </si>
  <si>
    <t>109.82 ± 17.46</t>
  </si>
  <si>
    <t>151.78 ± 24.48</t>
  </si>
  <si>
    <t>1.33 ± 0.34</t>
  </si>
  <si>
    <t>1.94 ± 0.48</t>
  </si>
  <si>
    <t>5.41 ± 1.13</t>
  </si>
  <si>
    <t>0.32 ± 0.58</t>
  </si>
  <si>
    <t>3.16 ± 1.10</t>
  </si>
  <si>
    <t>141.32 ± 28.94</t>
  </si>
  <si>
    <t>175.70 ± 38.40</t>
  </si>
  <si>
    <t>247.32 ± 50.64</t>
  </si>
  <si>
    <t>2.71 ± 0.86</t>
  </si>
  <si>
    <t>4.01 ± 1.18</t>
  </si>
  <si>
    <t>11.45 ± 3.00</t>
  </si>
  <si>
    <t>0.14 ± 0.35</t>
  </si>
  <si>
    <t>3.40 ± 1.18</t>
  </si>
  <si>
    <t>738.94 ± 246.54</t>
  </si>
  <si>
    <t>694.66 ± 171.02</t>
  </si>
  <si>
    <t>784.64 ± 216.71</t>
  </si>
  <si>
    <t>49.58 ± 20.70</t>
  </si>
  <si>
    <t>47.25 ± 15.10</t>
  </si>
  <si>
    <t>57.78 ± 20.21</t>
  </si>
  <si>
    <t>0.88 ± 1.03</t>
  </si>
  <si>
    <t>3.64 ± 1.72</t>
  </si>
  <si>
    <t>464.86 ± 262.84</t>
  </si>
  <si>
    <t>468.30 ± 241.03</t>
  </si>
  <si>
    <t>491.42 ± 267.43</t>
  </si>
  <si>
    <t>65.27 ± 38.90</t>
  </si>
  <si>
    <t>67.14 ± 35.31</t>
  </si>
  <si>
    <t>79.38 ± 41.21</t>
  </si>
  <si>
    <t>0.44 ± 0.67</t>
  </si>
  <si>
    <t>1.24 ± 1.05</t>
  </si>
  <si>
    <t>956.64 ± 350.89</t>
  </si>
  <si>
    <t>888.42 ± 272.67</t>
  </si>
  <si>
    <t>936.42 ± 347.47</t>
  </si>
  <si>
    <t>157.74 ± 67.21</t>
  </si>
  <si>
    <t>149.29 ± 54.29</t>
  </si>
  <si>
    <t>160.43 ± 63.74</t>
  </si>
  <si>
    <t>0.52 ± 0.70</t>
  </si>
  <si>
    <t>2.48 ± 1.32</t>
  </si>
  <si>
    <t>79.60 ± 12.89</t>
  </si>
  <si>
    <t>143.70 ± 15.14</t>
  </si>
  <si>
    <t>189.48 ± 6.95</t>
  </si>
  <si>
    <t>3.69 ± 1.26</t>
  </si>
  <si>
    <t>11.16 ± 2.98</t>
  </si>
  <si>
    <t>23.12 ± 2.07</t>
  </si>
  <si>
    <t>16.16 ± 4.46</t>
  </si>
  <si>
    <t>80.14 ± 7.05</t>
  </si>
  <si>
    <t>13.33 ± 2.30</t>
  </si>
  <si>
    <t>27.17 ± 4.53</t>
  </si>
  <si>
    <t>23.54 ± 1.84</t>
  </si>
  <si>
    <t>0.16 ± 0.09</t>
  </si>
  <si>
    <t>0.35 ± 0.10</t>
  </si>
  <si>
    <t>0.35 ± 0.04</t>
  </si>
  <si>
    <t>2.88 ± 1.45</t>
  </si>
  <si>
    <t>11.42 ± 3.25</t>
  </si>
  <si>
    <t>61.66 ± 26.09</t>
  </si>
  <si>
    <t>184.12 ± 62.39</t>
  </si>
  <si>
    <t>193.92 ± 68.22</t>
  </si>
  <si>
    <t>0.51 ± 0.23</t>
  </si>
  <si>
    <t>3.46 ± 1.42</t>
  </si>
  <si>
    <t>5.72 ± 2.03</t>
  </si>
  <si>
    <t>28.62 ± 11.56</t>
  </si>
  <si>
    <t>148.52 ± 49.04</t>
  </si>
  <si>
    <t>193.46 ± 91.05</t>
  </si>
  <si>
    <t>675.10 ± 281.13</t>
  </si>
  <si>
    <t>634.76 ± 316.77</t>
  </si>
  <si>
    <t>10.51 ± 5.79</t>
  </si>
  <si>
    <t>126.98 ± 73.03</t>
  </si>
  <si>
    <t>194.14 ± 108.19</t>
  </si>
  <si>
    <t>118.76 ± 52.85</t>
  </si>
  <si>
    <t>604.26 ± 250.70</t>
  </si>
  <si>
    <t>96.44 ± 24.15</t>
  </si>
  <si>
    <t>111.70 ± 64.96</t>
  </si>
  <si>
    <t>112.70 ± 64.96</t>
  </si>
  <si>
    <t>1.79 ± 0.48</t>
  </si>
  <si>
    <t>4.24 ± 2.83</t>
  </si>
  <si>
    <t>4.51 ± 2.94</t>
  </si>
  <si>
    <t>16.28 ± 4.82</t>
  </si>
  <si>
    <t>44.76 ± 25.29</t>
  </si>
  <si>
    <t>171.86 ± 55.02</t>
  </si>
  <si>
    <t>144.54 ± 114.33</t>
  </si>
  <si>
    <t>145.54 ± 114.33</t>
  </si>
  <si>
    <t>12.49 ± 4.65</t>
  </si>
  <si>
    <t>20.34 ± 19.99</t>
  </si>
  <si>
    <t>23.43 ± 21.41</t>
  </si>
  <si>
    <t>35.50 ± 10.54</t>
  </si>
  <si>
    <t>62.50 ± 47.82</t>
  </si>
  <si>
    <t>93.02 ± 22.75</t>
  </si>
  <si>
    <t>137.42 ± 27.40</t>
  </si>
  <si>
    <t>99.20 ± 24.77</t>
  </si>
  <si>
    <t>84.42 ± 22.75</t>
  </si>
  <si>
    <t>0.82 ± 0.27</t>
  </si>
  <si>
    <t>2.38 ± 0.53</t>
  </si>
  <si>
    <t>1.68 ± 0.50</t>
  </si>
  <si>
    <t>2.61 ± 0.69</t>
  </si>
  <si>
    <t>2.04 ± 0.80</t>
  </si>
  <si>
    <t>0.38 ± 0.56</t>
  </si>
  <si>
    <t>0.62 ± 0.80</t>
  </si>
  <si>
    <t>108.04 ± 21.36</t>
  </si>
  <si>
    <t>149.40 ± 26.91</t>
  </si>
  <si>
    <t>111.86 ± 18.24</t>
  </si>
  <si>
    <t>107.18 ± 22.20</t>
  </si>
  <si>
    <t>1.44 ± 0.43</t>
  </si>
  <si>
    <t>3.96 ± 0.76</t>
  </si>
  <si>
    <t>2.84 ± 0.66</t>
  </si>
  <si>
    <t>4.89 ± 1.13</t>
  </si>
  <si>
    <t>3.20 ± 1.11</t>
  </si>
  <si>
    <t>0.74 ± 0.77</t>
  </si>
  <si>
    <t>0.92 ± 0.77</t>
  </si>
  <si>
    <t>165.30 ± 39.89</t>
  </si>
  <si>
    <t>245.68 ± 48.45</t>
  </si>
  <si>
    <t>180.74 ± 46.85</t>
  </si>
  <si>
    <t>145.76 ± 29.55</t>
  </si>
  <si>
    <t>3.88 ± 1.37</t>
  </si>
  <si>
    <t>11.10 ± 2.90</t>
  </si>
  <si>
    <t>7.47 ± 2.54</t>
  </si>
  <si>
    <t>11.11 ± 2.50</t>
  </si>
  <si>
    <t>3.10 ± 1.45</t>
  </si>
  <si>
    <t>0.76 ± 0.62</t>
  </si>
  <si>
    <t>1.26 ± 1.04</t>
  </si>
  <si>
    <t>139.10 ± 15.03</t>
  </si>
  <si>
    <t>186.48 ± 13.09</t>
  </si>
  <si>
    <t>99.04 ± 26.97</t>
  </si>
  <si>
    <t>88.16 ± 14.06</t>
  </si>
  <si>
    <t>15.20 ± 6.30</t>
  </si>
  <si>
    <t>31.96 ± 3.69</t>
  </si>
  <si>
    <t>11.85 ± 7.42</t>
  </si>
  <si>
    <t>10.21 ± 3.73</t>
  </si>
  <si>
    <t>77.38 ± 7.86</t>
  </si>
  <si>
    <t>17.36 ± 3.32</t>
  </si>
  <si>
    <t>17.04 ± 3.88</t>
  </si>
  <si>
    <t>29.76 ± 5.20</t>
  </si>
  <si>
    <t>24.08 ± 1.94</t>
  </si>
  <si>
    <t>14.69 ± 3.83</t>
  </si>
  <si>
    <t>0.58 ± 0.16</t>
  </si>
  <si>
    <t>0.54 ± 0.06</t>
  </si>
  <si>
    <t>0.28 ± 0.14</t>
  </si>
  <si>
    <t>13.24 ± 3.44</t>
  </si>
  <si>
    <t>2.65 ± 1.66</t>
  </si>
  <si>
    <t>163.06 ± 62.25</t>
  </si>
  <si>
    <t>198.52 ± 63.56</t>
  </si>
  <si>
    <t>136.00 ± 82.66</t>
  </si>
  <si>
    <t>115.44 ± 63.37</t>
  </si>
  <si>
    <t>4.78 ± 2.22</t>
  </si>
  <si>
    <t>8.43 ± 2.63</t>
  </si>
  <si>
    <t>4.10 ± 3.19</t>
  </si>
  <si>
    <t>4.26 ± 3.61</t>
  </si>
  <si>
    <t>131.86 ± 49.15</t>
  </si>
  <si>
    <t>33.88 ± 9.82</t>
  </si>
  <si>
    <t>33.40 ± 9.64</t>
  </si>
  <si>
    <t>101.64 ± 59.76</t>
  </si>
  <si>
    <t>102.64 ± 59.76</t>
  </si>
  <si>
    <t>99.56 ± 45.08</t>
  </si>
  <si>
    <t>98.92 ± 43.85</t>
  </si>
  <si>
    <t>3.87 ± 2.69</t>
  </si>
  <si>
    <t>4.02 ± 2.41</t>
  </si>
  <si>
    <t>2.66 ± 1.91</t>
  </si>
  <si>
    <t>2.98 ± 3.10</t>
  </si>
  <si>
    <t>40.84 ± 23.16</t>
  </si>
  <si>
    <t>15.40 ± 5.01</t>
  </si>
  <si>
    <t>189.72 ± 161.91</t>
  </si>
  <si>
    <t>190.72 ± 161.91</t>
  </si>
  <si>
    <t>203.96 ± 93.59</t>
  </si>
  <si>
    <t>205.04 ± 95.23</t>
  </si>
  <si>
    <t>34.92 ± 38.20</t>
  </si>
  <si>
    <t>34.43 ± 32.13</t>
  </si>
  <si>
    <t>28.44 ± 18.55</t>
  </si>
  <si>
    <t>35.98 ± 34.26</t>
  </si>
  <si>
    <t>81.44 ± 67.71</t>
  </si>
  <si>
    <t>37.84 ± 10.37</t>
  </si>
  <si>
    <t>92.18 ± 18.85</t>
  </si>
  <si>
    <t>135.94 ± 29.44</t>
  </si>
  <si>
    <t>122.58 ± 25.30</t>
  </si>
  <si>
    <t>94.52 ± 21.64</t>
  </si>
  <si>
    <t>0.84 ± 0.26</t>
  </si>
  <si>
    <t>2.52 ± 0.59</t>
  </si>
  <si>
    <t>3.11 ± 0.68</t>
  </si>
  <si>
    <t>4.54 ± 1.08</t>
  </si>
  <si>
    <t>2.20 ± 0.92</t>
  </si>
  <si>
    <t>1.94 ± 0.93</t>
  </si>
  <si>
    <t>2.08 ± 1.00</t>
  </si>
  <si>
    <t>109.16 ± 24.93</t>
  </si>
  <si>
    <t>151.00 ± 25.43</t>
  </si>
  <si>
    <t>134.78 ± 23.87</t>
  </si>
  <si>
    <t>118.50 ± 29.40</t>
  </si>
  <si>
    <t>2.18 ± 0.66</t>
  </si>
  <si>
    <t>6.21 ± 1.13</t>
  </si>
  <si>
    <t>7.25 ± 1.43</t>
  </si>
  <si>
    <t>12.57 ± 3.27</t>
  </si>
  <si>
    <t>2.86 ± 0.96</t>
  </si>
  <si>
    <t>2.32 ± 1.14</t>
  </si>
  <si>
    <t>2.86 ± 1.23</t>
  </si>
  <si>
    <t>170.54 ± 37.92</t>
  </si>
  <si>
    <t>259.32 ± 56.78</t>
  </si>
  <si>
    <t>215.62 ± 39.63</t>
  </si>
  <si>
    <t>164.86 ± 36.02</t>
  </si>
  <si>
    <t>8.10 ± 2.50</t>
  </si>
  <si>
    <t>24.35 ± 7.01</t>
  </si>
  <si>
    <t>25.00 ± 5.37</t>
  </si>
  <si>
    <t>40.53 ± 11.45</t>
  </si>
  <si>
    <t>2.98 ± 1.33</t>
  </si>
  <si>
    <t>2.22 ± 0.83</t>
  </si>
  <si>
    <t>2.92 ± 1.07</t>
  </si>
  <si>
    <t>137.78 ± 18.27</t>
  </si>
  <si>
    <t>186.64 ± 11.02</t>
  </si>
  <si>
    <t>142.20 ± 18.97</t>
  </si>
  <si>
    <t>134.16 ± 15.07</t>
  </si>
  <si>
    <t>19.30 ± 4.40</t>
  </si>
  <si>
    <t>41.16 ± 5.48</t>
  </si>
  <si>
    <t>28.02 ± 6.14</t>
  </si>
  <si>
    <t>24.90 ± 4.65</t>
  </si>
  <si>
    <t>77.56 ± 9.28</t>
  </si>
  <si>
    <t>61.74 ± 7.81</t>
  </si>
  <si>
    <t>59.16 ± 7.95</t>
  </si>
  <si>
    <t>28.41 ± 5.22</t>
  </si>
  <si>
    <t>24.15 ± 2.04</t>
  </si>
  <si>
    <t>27.63 ± 6.25</t>
  </si>
  <si>
    <t>27.43 ± 5.78</t>
  </si>
  <si>
    <t>0.71 ± 0.20</t>
  </si>
  <si>
    <t>0.69 ± 0.07</t>
  </si>
  <si>
    <t>0.81 ± 0.30</t>
  </si>
  <si>
    <t>0.86 ± 0.31</t>
  </si>
  <si>
    <t>12.35 ± 3.65</t>
  </si>
  <si>
    <t>10.78 ± 3.01</t>
  </si>
  <si>
    <t>152.82 ± 71.44</t>
  </si>
  <si>
    <t>207.59 ± 64.92</t>
  </si>
  <si>
    <t>197.41 ± 73.59</t>
  </si>
  <si>
    <t>182.61 ± 69.22</t>
  </si>
  <si>
    <t>5.64 ± 3.14</t>
  </si>
  <si>
    <t>10.95 ± 3.27</t>
  </si>
  <si>
    <t>8.27 ± 3.54</t>
  </si>
  <si>
    <t>8.88 ± 4.08</t>
  </si>
  <si>
    <t>122.61 ± 56.08</t>
  </si>
  <si>
    <t>112.73 ± 35.11</t>
  </si>
  <si>
    <t>106.35 ± 33.78</t>
  </si>
  <si>
    <t>110.70 ± 60.65</t>
  </si>
  <si>
    <t>111.70 ± 60.65</t>
  </si>
  <si>
    <t>191.50 ± 67.77</t>
  </si>
  <si>
    <t>191.52 ± 67.77</t>
  </si>
  <si>
    <t>9.75 ± 6.06</t>
  </si>
  <si>
    <t>10.49 ± 5.54</t>
  </si>
  <si>
    <t>15.37 ± 5.37</t>
  </si>
  <si>
    <t>18.11 ± 7.53</t>
  </si>
  <si>
    <t>44.68 ± 24.13</t>
  </si>
  <si>
    <t>56.44 ± 15.81</t>
  </si>
  <si>
    <t>462.12 ± 278.57</t>
  </si>
  <si>
    <t>518.42 ± 274.72</t>
  </si>
  <si>
    <t>434.04 ± 257.39</t>
  </si>
  <si>
    <t>555.32 ± 276.49</t>
  </si>
  <si>
    <t>137.74 ± 80.92</t>
  </si>
  <si>
    <t>155.98 ± 72.71</t>
  </si>
  <si>
    <t>137.34 ± 72.52</t>
  </si>
  <si>
    <t>166.09 ± 72.20</t>
  </si>
  <si>
    <t>486.52 ± 243.93</t>
  </si>
  <si>
    <t>555.18 ± 268.40</t>
  </si>
  <si>
    <t>118.31 ± 60.33</t>
  </si>
  <si>
    <t>152.39 ± 68.36</t>
  </si>
  <si>
    <t>1.42 ± 1.13</t>
  </si>
  <si>
    <t>438.88 ± 386.61</t>
  </si>
  <si>
    <t>297.29 ± 264.03</t>
  </si>
  <si>
    <t>318.92 ± 282.44</t>
  </si>
  <si>
    <t>299.55 ± 266.23</t>
  </si>
  <si>
    <t>741.71 ± 290.28</t>
  </si>
  <si>
    <t>799.47 ± 293.76</t>
  </si>
  <si>
    <t>235.62 ± 125.12</t>
  </si>
  <si>
    <t>365.39 ± 140.27</t>
  </si>
  <si>
    <t>114.28 ± 104.17</t>
  </si>
  <si>
    <t>108.28 ± 120.71</t>
  </si>
  <si>
    <t>122.40 ± 131.66</t>
  </si>
  <si>
    <t>116.96 ± 130.97</t>
  </si>
  <si>
    <t>661.00 ± 257.01</t>
  </si>
  <si>
    <t xml:space="preserve">100.52 </t>
  </si>
  <si>
    <t xml:space="preserve">1.33 </t>
  </si>
  <si>
    <t xml:space="preserve">83.54 </t>
  </si>
  <si>
    <t xml:space="preserve">2.02 </t>
  </si>
  <si>
    <t xml:space="preserve">80.94 </t>
  </si>
  <si>
    <t xml:space="preserve">2.05 </t>
  </si>
  <si>
    <t xml:space="preserve">82.70 </t>
  </si>
  <si>
    <t xml:space="preserve">2.46 </t>
  </si>
  <si>
    <t xml:space="preserve">115.52 </t>
  </si>
  <si>
    <t xml:space="preserve">2.79 </t>
  </si>
  <si>
    <t xml:space="preserve">105.28 </t>
  </si>
  <si>
    <t xml:space="preserve">4.73 </t>
  </si>
  <si>
    <t xml:space="preserve">106.44 </t>
  </si>
  <si>
    <t xml:space="preserve">4.96 </t>
  </si>
  <si>
    <t xml:space="preserve">105.48 </t>
  </si>
  <si>
    <t xml:space="preserve">5.56 </t>
  </si>
  <si>
    <t xml:space="preserve">184.90 </t>
  </si>
  <si>
    <t xml:space="preserve">7.85 </t>
  </si>
  <si>
    <t xml:space="preserve">148.02 </t>
  </si>
  <si>
    <t xml:space="preserve">11.50 </t>
  </si>
  <si>
    <t xml:space="preserve">153.10 </t>
  </si>
  <si>
    <t xml:space="preserve">12.39 </t>
  </si>
  <si>
    <t xml:space="preserve">146.16 </t>
  </si>
  <si>
    <t xml:space="preserve">12.13 </t>
  </si>
  <si>
    <t xml:space="preserve">736.87 </t>
  </si>
  <si>
    <t xml:space="preserve">92.64 </t>
  </si>
  <si>
    <t xml:space="preserve">666.70 </t>
  </si>
  <si>
    <t xml:space="preserve">88.20 </t>
  </si>
  <si>
    <t xml:space="preserve">724.28 </t>
  </si>
  <si>
    <t xml:space="preserve">101.64 </t>
  </si>
  <si>
    <t xml:space="preserve">709.56 </t>
  </si>
  <si>
    <t xml:space="preserve">109.42 </t>
  </si>
  <si>
    <t xml:space="preserve">462.12 </t>
  </si>
  <si>
    <t xml:space="preserve">137.74 </t>
  </si>
  <si>
    <t xml:space="preserve">518.42 </t>
  </si>
  <si>
    <t xml:space="preserve">155.98 </t>
  </si>
  <si>
    <t xml:space="preserve">434.04 </t>
  </si>
  <si>
    <t xml:space="preserve">137.34 </t>
  </si>
  <si>
    <t xml:space="preserve">555.32 </t>
  </si>
  <si>
    <t xml:space="preserve">166.09 </t>
  </si>
  <si>
    <t xml:space="preserve">127.82 </t>
  </si>
  <si>
    <t xml:space="preserve">26.06 </t>
  </si>
  <si>
    <t xml:space="preserve">78.84 </t>
  </si>
  <si>
    <t xml:space="preserve">11.74 </t>
  </si>
  <si>
    <t xml:space="preserve">82.66 </t>
  </si>
  <si>
    <t xml:space="preserve">12.97 </t>
  </si>
  <si>
    <t xml:space="preserve">80.44 </t>
  </si>
  <si>
    <t xml:space="preserve">12.86 </t>
  </si>
  <si>
    <t xml:space="preserve">17.00 </t>
  </si>
  <si>
    <t xml:space="preserve">0.96 </t>
  </si>
  <si>
    <t xml:space="preserve">1.15 </t>
  </si>
  <si>
    <t xml:space="preserve">1.10 </t>
  </si>
  <si>
    <t xml:space="preserve">1.21 </t>
  </si>
  <si>
    <t xml:space="preserve">96.22 </t>
  </si>
  <si>
    <t xml:space="preserve">3.10 </t>
  </si>
  <si>
    <t xml:space="preserve">67.31 </t>
  </si>
  <si>
    <t xml:space="preserve">3.15 </t>
  </si>
  <si>
    <t xml:space="preserve">60.39 </t>
  </si>
  <si>
    <t xml:space="preserve">2.72 </t>
  </si>
  <si>
    <t xml:space="preserve">72.10 </t>
  </si>
  <si>
    <t xml:space="preserve">3.62 </t>
  </si>
  <si>
    <t xml:space="preserve">438.88 </t>
  </si>
  <si>
    <t xml:space="preserve">114.28 </t>
  </si>
  <si>
    <t xml:space="preserve">297.29 </t>
  </si>
  <si>
    <t xml:space="preserve">108.28 </t>
  </si>
  <si>
    <t xml:space="preserve">318.92 </t>
  </si>
  <si>
    <t xml:space="preserve">122.40 </t>
  </si>
  <si>
    <t xml:space="preserve">299.55 </t>
  </si>
  <si>
    <t xml:space="preserve">116.96 </t>
  </si>
  <si>
    <t xml:space="preserve">104.00 </t>
  </si>
  <si>
    <t xml:space="preserve">7.65 </t>
  </si>
  <si>
    <t xml:space="preserve">118.88 </t>
  </si>
  <si>
    <t xml:space="preserve">14.45 </t>
  </si>
  <si>
    <t xml:space="preserve">16.72 </t>
  </si>
  <si>
    <t xml:space="preserve">16.41 </t>
  </si>
  <si>
    <t xml:space="preserve">142.85 </t>
  </si>
  <si>
    <t xml:space="preserve">31.35 </t>
  </si>
  <si>
    <t xml:space="preserve">128.20 </t>
  </si>
  <si>
    <t xml:space="preserve">54.74 </t>
  </si>
  <si>
    <t xml:space="preserve">61.67 </t>
  </si>
  <si>
    <t xml:space="preserve">90.94 </t>
  </si>
  <si>
    <t xml:space="preserve">1.96 </t>
  </si>
  <si>
    <t xml:space="preserve">0.88 </t>
  </si>
  <si>
    <t xml:space="preserve">138.96 </t>
  </si>
  <si>
    <t xml:space="preserve">2.52 </t>
  </si>
  <si>
    <t xml:space="preserve">101.14 </t>
  </si>
  <si>
    <t xml:space="preserve">78.32 </t>
  </si>
  <si>
    <t xml:space="preserve">1.86 </t>
  </si>
  <si>
    <t xml:space="preserve">103.96 </t>
  </si>
  <si>
    <t xml:space="preserve">2.84 </t>
  </si>
  <si>
    <t xml:space="preserve">155.64 </t>
  </si>
  <si>
    <t xml:space="preserve">5.13 </t>
  </si>
  <si>
    <t xml:space="preserve">111.14 </t>
  </si>
  <si>
    <t xml:space="preserve">2.66 </t>
  </si>
  <si>
    <t xml:space="preserve">101.58 </t>
  </si>
  <si>
    <t xml:space="preserve">4.59 </t>
  </si>
  <si>
    <t xml:space="preserve">173.04 </t>
  </si>
  <si>
    <t xml:space="preserve">3.26 </t>
  </si>
  <si>
    <t xml:space="preserve">5.68 </t>
  </si>
  <si>
    <t xml:space="preserve">247.46 </t>
  </si>
  <si>
    <t xml:space="preserve">14.23 </t>
  </si>
  <si>
    <t xml:space="preserve">185.24 </t>
  </si>
  <si>
    <t xml:space="preserve">8.13 </t>
  </si>
  <si>
    <t xml:space="preserve">143.80 </t>
  </si>
  <si>
    <t xml:space="preserve">11.45 </t>
  </si>
  <si>
    <t xml:space="preserve">730.38 </t>
  </si>
  <si>
    <t xml:space="preserve">3.56 </t>
  </si>
  <si>
    <t xml:space="preserve">129.72 </t>
  </si>
  <si>
    <t xml:space="preserve">827.24 </t>
  </si>
  <si>
    <t xml:space="preserve">149.01 </t>
  </si>
  <si>
    <t xml:space="preserve">672.60 </t>
  </si>
  <si>
    <t xml:space="preserve">111.40 </t>
  </si>
  <si>
    <t xml:space="preserve">698.00 </t>
  </si>
  <si>
    <t xml:space="preserve">118.21 </t>
  </si>
  <si>
    <t xml:space="preserve">423.36 </t>
  </si>
  <si>
    <t xml:space="preserve">1.52 </t>
  </si>
  <si>
    <t xml:space="preserve">165.63 </t>
  </si>
  <si>
    <t xml:space="preserve">503.26 </t>
  </si>
  <si>
    <t xml:space="preserve">214.70 </t>
  </si>
  <si>
    <t xml:space="preserve">430.04 </t>
  </si>
  <si>
    <t xml:space="preserve">177.11 </t>
  </si>
  <si>
    <t xml:space="preserve">459.06 </t>
  </si>
  <si>
    <t xml:space="preserve">192.71 </t>
  </si>
  <si>
    <t xml:space="preserve">139.64 </t>
  </si>
  <si>
    <t xml:space="preserve">77.58 </t>
  </si>
  <si>
    <t xml:space="preserve">20.36 </t>
  </si>
  <si>
    <t xml:space="preserve">187.16 </t>
  </si>
  <si>
    <t xml:space="preserve">43.56 </t>
  </si>
  <si>
    <t xml:space="preserve">109.54 </t>
  </si>
  <si>
    <t xml:space="preserve">20.07 </t>
  </si>
  <si>
    <t xml:space="preserve">76.22 </t>
  </si>
  <si>
    <t xml:space="preserve">10.81 </t>
  </si>
  <si>
    <t xml:space="preserve">26.72 </t>
  </si>
  <si>
    <t xml:space="preserve">11.08 </t>
  </si>
  <si>
    <t xml:space="preserve">0.91 </t>
  </si>
  <si>
    <t xml:space="preserve">23.34 </t>
  </si>
  <si>
    <t xml:space="preserve">1.00 </t>
  </si>
  <si>
    <t xml:space="preserve">10.12 </t>
  </si>
  <si>
    <t xml:space="preserve">0.31 </t>
  </si>
  <si>
    <t xml:space="preserve">176.08 </t>
  </si>
  <si>
    <t xml:space="preserve">143.22 </t>
  </si>
  <si>
    <t xml:space="preserve">5.62 </t>
  </si>
  <si>
    <t xml:space="preserve">212.27 </t>
  </si>
  <si>
    <t xml:space="preserve">9.16 </t>
  </si>
  <si>
    <t xml:space="preserve">78.65 </t>
  </si>
  <si>
    <t xml:space="preserve">2.40 </t>
  </si>
  <si>
    <t xml:space="preserve">59.96 </t>
  </si>
  <si>
    <t xml:space="preserve">104.26 </t>
  </si>
  <si>
    <t xml:space="preserve">42.10 </t>
  </si>
  <si>
    <t xml:space="preserve">7.32 </t>
  </si>
  <si>
    <t xml:space="preserve">105.26 </t>
  </si>
  <si>
    <t xml:space="preserve">6.89 </t>
  </si>
  <si>
    <t xml:space="preserve">55.54 </t>
  </si>
  <si>
    <t xml:space="preserve">2.18 </t>
  </si>
  <si>
    <t xml:space="preserve">3.30 </t>
  </si>
  <si>
    <t xml:space="preserve">210.32 </t>
  </si>
  <si>
    <t xml:space="preserve">90.06 </t>
  </si>
  <si>
    <t xml:space="preserve">53.92 </t>
  </si>
  <si>
    <t xml:space="preserve">211.12 </t>
  </si>
  <si>
    <t xml:space="preserve">49.08 </t>
  </si>
  <si>
    <t xml:space="preserve">76.32 </t>
  </si>
  <si>
    <t xml:space="preserve">9.72 </t>
  </si>
  <si>
    <t xml:space="preserve">14.90 </t>
  </si>
  <si>
    <t>MT</t>
  </si>
  <si>
    <t>Lazy Deadends</t>
  </si>
  <si>
    <t>MT Deadends</t>
  </si>
  <si>
    <t xml:space="preserve">799.47 </t>
  </si>
  <si>
    <t xml:space="preserve">365.39 </t>
  </si>
  <si>
    <t>771.04 ± 184.96</t>
  </si>
  <si>
    <t>758.20 ± 204.30</t>
  </si>
  <si>
    <t>717.78 ± 206.04</t>
  </si>
  <si>
    <t>733.00 ± 212.75</t>
  </si>
  <si>
    <t>91.22 ± 27.24</t>
  </si>
  <si>
    <t>95.42 ± 28.70</t>
  </si>
  <si>
    <t>97.78 ± 33.97</t>
  </si>
  <si>
    <t>113.18 ± 37.73</t>
  </si>
  <si>
    <t>3.46 ± 1.51</t>
  </si>
  <si>
    <t>0.94 ± 0.97</t>
  </si>
  <si>
    <t>0.94 ± 0.88</t>
  </si>
  <si>
    <t>377.40 ± 373.07</t>
  </si>
  <si>
    <t>250.90 ± 247.99</t>
  </si>
  <si>
    <t>218.38 ± 215.88</t>
  </si>
  <si>
    <t>237.10 ± 224.11</t>
  </si>
  <si>
    <t>743.34 ± 304.93</t>
  </si>
  <si>
    <t>704.02 ± 260.59</t>
  </si>
  <si>
    <t>93.00 ± 94.91</t>
  </si>
  <si>
    <t>87.88 ± 103.80</t>
  </si>
  <si>
    <t>74.84 ± 92.92</t>
  </si>
  <si>
    <t>85.75 ± 100.70</t>
  </si>
  <si>
    <t>663.26 ± 272.80</t>
  </si>
  <si>
    <t>223.26 ± 115.53</t>
  </si>
  <si>
    <t>287.47 ± 112.93</t>
  </si>
  <si>
    <t>799.80 ± 362.45</t>
  </si>
  <si>
    <t>864.60 ± 361.74</t>
  </si>
  <si>
    <t>860.22 ± 344.93</t>
  </si>
  <si>
    <t>798.12 ± 310.91</t>
  </si>
  <si>
    <t>873.44 ± 337.53</t>
  </si>
  <si>
    <t>932.14 ± 281.94</t>
  </si>
  <si>
    <t>247.25 ± 103.28</t>
  </si>
  <si>
    <t>268.78 ± 85.55</t>
  </si>
  <si>
    <t>2.82 ± 1.55</t>
  </si>
  <si>
    <t>226.64 ± 109.49</t>
  </si>
  <si>
    <t>247.76 ± 113.76</t>
  </si>
  <si>
    <t>247.73 ± 108.57</t>
  </si>
  <si>
    <t>234.54 ± 98.19</t>
  </si>
  <si>
    <t>847.52 ± 355.82</t>
  </si>
  <si>
    <t>950.92 ± 332.44</t>
  </si>
  <si>
    <t>988.06 ± 351.34</t>
  </si>
  <si>
    <t>1103.32 ± 363.39</t>
  </si>
  <si>
    <t>252.09 ± 103.44</t>
  </si>
  <si>
    <t>283.15 ± 101.34</t>
  </si>
  <si>
    <t>298.24 ± 107.69</t>
  </si>
  <si>
    <t>337.83 ± 115.56</t>
  </si>
  <si>
    <t>855.20 ± 272.16</t>
  </si>
  <si>
    <t>903.28 ± 343.17</t>
  </si>
  <si>
    <t>242.37 ± 87.28</t>
  </si>
  <si>
    <t>264.81 ± 100.91</t>
  </si>
  <si>
    <t>2.60 ± 1.44</t>
  </si>
  <si>
    <t>458.58 ± 256.30</t>
  </si>
  <si>
    <t>527.54 ± 286.12</t>
  </si>
  <si>
    <t>492.76 ± 237.13</t>
  </si>
  <si>
    <t>486.70 ± 245.13</t>
  </si>
  <si>
    <t>124.34 ± 69.56</t>
  </si>
  <si>
    <t>156.65 ± 76.33</t>
  </si>
  <si>
    <t>143.77 ± 71.03</t>
  </si>
  <si>
    <t>140.58 ± 70.47</t>
  </si>
  <si>
    <t>1.24 ± 1.07</t>
  </si>
  <si>
    <t>0.52 ± 0.61</t>
  </si>
  <si>
    <t>0.46 ± 0.61</t>
  </si>
  <si>
    <t>719.44 ± 275.93</t>
  </si>
  <si>
    <t>725.84 ± 289.11</t>
  </si>
  <si>
    <t>427.56 ± 328.59</t>
  </si>
  <si>
    <t>376.42 ± 241.63</t>
  </si>
  <si>
    <t>221.50 ± 119.85</t>
  </si>
  <si>
    <t>319.35 ± 134.21</t>
  </si>
  <si>
    <t>91.34 ± 87.81</t>
  </si>
  <si>
    <t>98.74 ± 104.15</t>
  </si>
  <si>
    <t>642.66 ± 243.63</t>
  </si>
  <si>
    <t>123.10 ± 55.65</t>
  </si>
  <si>
    <t>134.14 ± 52.17</t>
  </si>
  <si>
    <t>124.80 ± 94.64</t>
  </si>
  <si>
    <t>125.80 ± 94.64</t>
  </si>
  <si>
    <t>398.60 ± 160.47</t>
  </si>
  <si>
    <t>51.72 ± 46.58</t>
  </si>
  <si>
    <t>52.64 ± 45.79</t>
  </si>
  <si>
    <t>168.31 ± 69.06</t>
  </si>
  <si>
    <t>200.23 ± 94.55</t>
  </si>
  <si>
    <t>54.04 ± 39.48</t>
  </si>
  <si>
    <t>125.24 ± 40.21</t>
  </si>
  <si>
    <t>689.56 ± 221.58</t>
  </si>
  <si>
    <t>813.58 ± 200.42</t>
  </si>
  <si>
    <t>779.40 ± 224.60</t>
  </si>
  <si>
    <t>792.04 ± 206.47</t>
  </si>
  <si>
    <t>108.93 ± 42.15</t>
  </si>
  <si>
    <t>131.84 ± 40.43</t>
  </si>
  <si>
    <t>127.47 ± 42.58</t>
  </si>
  <si>
    <t>132.27 ± 40.94</t>
  </si>
  <si>
    <t>4.14 ± 1.87</t>
  </si>
  <si>
    <t>4.42 ± 1.54</t>
  </si>
  <si>
    <t>4.30 ± 1.54</t>
  </si>
  <si>
    <t>526.66 ± 233.92</t>
  </si>
  <si>
    <t>547.60 ± 256.77</t>
  </si>
  <si>
    <t>492.80 ± 217.11</t>
  </si>
  <si>
    <t>493.68 ± 218.29</t>
  </si>
  <si>
    <t>195.52 ± 87.16</t>
  </si>
  <si>
    <t>223.02 ± 94.21</t>
  </si>
  <si>
    <t>187.43 ± 80.45</t>
  </si>
  <si>
    <t>185.13 ± 81.27</t>
  </si>
  <si>
    <t>1.52 ± 1.00</t>
  </si>
  <si>
    <t>1.40 ± 1.10</t>
  </si>
  <si>
    <t xml:space="preserve">873.44 </t>
  </si>
  <si>
    <t xml:space="preserve">2.82 </t>
  </si>
  <si>
    <t xml:space="preserve">247.25 </t>
  </si>
  <si>
    <t xml:space="preserve">743.34 </t>
  </si>
  <si>
    <t xml:space="preserve">663.26 </t>
  </si>
  <si>
    <t xml:space="preserve">223.26 </t>
  </si>
  <si>
    <t xml:space="preserve">932.14 </t>
  </si>
  <si>
    <t xml:space="preserve">704.02 </t>
  </si>
  <si>
    <t xml:space="preserve">268.78 </t>
  </si>
  <si>
    <t xml:space="preserve">287.47 </t>
  </si>
  <si>
    <t xml:space="preserve">799.80 </t>
  </si>
  <si>
    <t xml:space="preserve">377.40 </t>
  </si>
  <si>
    <t xml:space="preserve">247.73 </t>
  </si>
  <si>
    <t xml:space="preserve">93.00 </t>
  </si>
  <si>
    <t xml:space="preserve">864.60 </t>
  </si>
  <si>
    <t xml:space="preserve">250.90 </t>
  </si>
  <si>
    <t xml:space="preserve">234.54 </t>
  </si>
  <si>
    <t xml:space="preserve">87.88 </t>
  </si>
  <si>
    <t xml:space="preserve">847.52 </t>
  </si>
  <si>
    <t xml:space="preserve">252.09 </t>
  </si>
  <si>
    <t xml:space="preserve">950.92 </t>
  </si>
  <si>
    <t xml:space="preserve">283.15 </t>
  </si>
  <si>
    <t>934.26 ± 340.58</t>
  </si>
  <si>
    <t>1005.00 ± 397.19</t>
  </si>
  <si>
    <t>915.20 ± 371.27</t>
  </si>
  <si>
    <t>960.44 ± 330.16</t>
  </si>
  <si>
    <t>303.60 ± 112.71</t>
  </si>
  <si>
    <t>290.40 ± 124.33</t>
  </si>
  <si>
    <t>322.54 ± 130.15</t>
  </si>
  <si>
    <t>294.73 ± 118.89</t>
  </si>
  <si>
    <t>2.66 ± 1.38</t>
  </si>
  <si>
    <t>0.58 ± 0.67</t>
  </si>
  <si>
    <t>OLD - FB</t>
  </si>
  <si>
    <t>OLD - FB - high</t>
  </si>
  <si>
    <t>Baseline</t>
  </si>
  <si>
    <t>clog2</t>
  </si>
  <si>
    <t>cloghuge2</t>
  </si>
  <si>
    <t>blocks15</t>
  </si>
  <si>
    <t>b15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</si>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</sst>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6" fillId="0" borderId="0"/>
  </cellStyleXfs>
  <cellXfs count="243">
    <xf numFmtId="0" fontId="0" fillId="0" borderId="0" xfId="0"/>
    <xf numFmtId="0" fontId="0" fillId="0" borderId="12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" xfId="0" applyBorder="1"/>
    <xf numFmtId="0" fontId="0" fillId="0" borderId="13" xfId="0" applyBorder="1"/>
    <xf numFmtId="0" fontId="0" fillId="0" borderId="4" xfId="0" applyBorder="1"/>
    <xf numFmtId="0" fontId="0" fillId="0" borderId="9" xfId="0" applyBorder="1"/>
    <xf numFmtId="0" fontId="2" fillId="0" borderId="0" xfId="1"/>
    <xf numFmtId="0" fontId="2" fillId="0" borderId="1" xfId="1" applyBorder="1"/>
    <xf numFmtId="0" fontId="1" fillId="0" borderId="6" xfId="0" applyFont="1" applyBorder="1"/>
    <xf numFmtId="0" fontId="1" fillId="0" borderId="0" xfId="0" applyFont="1"/>
    <xf numFmtId="0" fontId="4" fillId="0" borderId="0" xfId="1" applyFont="1"/>
    <xf numFmtId="0" fontId="1" fillId="0" borderId="4" xfId="0" applyFont="1" applyBorder="1"/>
    <xf numFmtId="0" fontId="1" fillId="0" borderId="12" xfId="0" applyFont="1" applyBorder="1"/>
    <xf numFmtId="0" fontId="1" fillId="0" borderId="9" xfId="0" applyFont="1" applyBorder="1"/>
    <xf numFmtId="0" fontId="4" fillId="0" borderId="6" xfId="1" applyFont="1" applyBorder="1"/>
    <xf numFmtId="0" fontId="1" fillId="0" borderId="7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8" xfId="0" applyFont="1" applyBorder="1"/>
    <xf numFmtId="0" fontId="1" fillId="0" borderId="10" xfId="0" applyFont="1" applyBorder="1"/>
    <xf numFmtId="2" fontId="1" fillId="0" borderId="0" xfId="0" applyNumberFormat="1" applyFont="1"/>
    <xf numFmtId="2" fontId="0" fillId="0" borderId="0" xfId="0" applyNumberFormat="1"/>
    <xf numFmtId="0" fontId="3" fillId="0" borderId="1" xfId="1" applyFont="1" applyBorder="1"/>
    <xf numFmtId="0" fontId="4" fillId="0" borderId="1" xfId="1" applyFont="1" applyBorder="1"/>
    <xf numFmtId="0" fontId="3" fillId="0" borderId="0" xfId="1" applyFont="1"/>
    <xf numFmtId="0" fontId="4" fillId="0" borderId="0" xfId="0" applyFont="1"/>
    <xf numFmtId="0" fontId="3" fillId="0" borderId="0" xfId="2"/>
    <xf numFmtId="0" fontId="3" fillId="0" borderId="0" xfId="0" applyFont="1"/>
    <xf numFmtId="0" fontId="3" fillId="0" borderId="6" xfId="2" applyBorder="1"/>
    <xf numFmtId="0" fontId="3" fillId="0" borderId="6" xfId="0" applyFont="1" applyBorder="1"/>
    <xf numFmtId="0" fontId="3" fillId="0" borderId="3" xfId="2" applyBorder="1"/>
    <xf numFmtId="0" fontId="3" fillId="0" borderId="4" xfId="2" applyBorder="1"/>
    <xf numFmtId="0" fontId="3" fillId="0" borderId="11" xfId="2" applyBorder="1"/>
    <xf numFmtId="0" fontId="3" fillId="0" borderId="12" xfId="2" applyBorder="1"/>
    <xf numFmtId="0" fontId="3" fillId="0" borderId="8" xfId="2" applyBorder="1"/>
    <xf numFmtId="0" fontId="3" fillId="0" borderId="9" xfId="2" applyBorder="1"/>
    <xf numFmtId="0" fontId="4" fillId="0" borderId="6" xfId="2" applyFont="1" applyBorder="1"/>
    <xf numFmtId="0" fontId="4" fillId="0" borderId="6" xfId="0" applyFont="1" applyBorder="1"/>
    <xf numFmtId="0" fontId="4" fillId="0" borderId="0" xfId="2" applyFont="1"/>
    <xf numFmtId="0" fontId="4" fillId="0" borderId="11" xfId="2" applyFont="1" applyBorder="1"/>
    <xf numFmtId="0" fontId="4" fillId="0" borderId="4" xfId="2" applyFont="1" applyBorder="1"/>
    <xf numFmtId="0" fontId="4" fillId="0" borderId="8" xfId="2" applyFont="1" applyBorder="1"/>
    <xf numFmtId="0" fontId="4" fillId="0" borderId="9" xfId="2" applyFont="1" applyBorder="1"/>
    <xf numFmtId="0" fontId="2" fillId="0" borderId="11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4" xfId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6" xfId="2" applyFont="1" applyBorder="1"/>
    <xf numFmtId="0" fontId="2" fillId="0" borderId="0" xfId="2" applyFont="1"/>
    <xf numFmtId="0" fontId="2" fillId="0" borderId="0" xfId="0" applyFont="1"/>
    <xf numFmtId="0" fontId="2" fillId="0" borderId="8" xfId="2" applyFont="1" applyBorder="1"/>
    <xf numFmtId="0" fontId="2" fillId="0" borderId="9" xfId="2" applyFont="1" applyBorder="1"/>
    <xf numFmtId="0" fontId="2" fillId="0" borderId="6" xfId="1" applyBorder="1"/>
    <xf numFmtId="0" fontId="2" fillId="0" borderId="9" xfId="0" applyFont="1" applyBorder="1"/>
    <xf numFmtId="0" fontId="2" fillId="0" borderId="9" xfId="1" applyBorder="1"/>
    <xf numFmtId="0" fontId="2" fillId="0" borderId="4" xfId="0" applyFont="1" applyBorder="1"/>
    <xf numFmtId="0" fontId="2" fillId="0" borderId="4" xfId="1" applyBorder="1"/>
    <xf numFmtId="0" fontId="2" fillId="0" borderId="8" xfId="1" applyBorder="1"/>
    <xf numFmtId="0" fontId="2" fillId="0" borderId="11" xfId="1" applyBorder="1"/>
    <xf numFmtId="0" fontId="2" fillId="0" borderId="12" xfId="1" applyBorder="1"/>
    <xf numFmtId="0" fontId="2" fillId="0" borderId="7" xfId="1" applyBorder="1"/>
    <xf numFmtId="0" fontId="2" fillId="0" borderId="3" xfId="1" applyBorder="1"/>
    <xf numFmtId="0" fontId="4" fillId="0" borderId="4" xfId="1" applyFont="1" applyBorder="1"/>
    <xf numFmtId="0" fontId="4" fillId="0" borderId="12" xfId="1" applyFont="1" applyBorder="1"/>
    <xf numFmtId="0" fontId="4" fillId="0" borderId="9" xfId="1" applyFont="1" applyBorder="1"/>
    <xf numFmtId="0" fontId="4" fillId="0" borderId="3" xfId="1" applyFont="1" applyBorder="1"/>
    <xf numFmtId="0" fontId="4" fillId="0" borderId="8" xfId="1" applyFont="1" applyBorder="1"/>
    <xf numFmtId="0" fontId="4" fillId="0" borderId="11" xfId="1" applyFont="1" applyBorder="1"/>
    <xf numFmtId="0" fontId="6" fillId="0" borderId="0" xfId="3"/>
    <xf numFmtId="0" fontId="6" fillId="0" borderId="12" xfId="3" applyBorder="1"/>
    <xf numFmtId="0" fontId="6" fillId="0" borderId="12" xfId="0" applyFont="1" applyBorder="1"/>
    <xf numFmtId="0" fontId="6" fillId="0" borderId="11" xfId="3" applyBorder="1"/>
    <xf numFmtId="0" fontId="6" fillId="0" borderId="17" xfId="3" applyBorder="1"/>
    <xf numFmtId="0" fontId="6" fillId="0" borderId="3" xfId="3" applyBorder="1"/>
    <xf numFmtId="0" fontId="6" fillId="0" borderId="4" xfId="3" applyBorder="1"/>
    <xf numFmtId="0" fontId="6" fillId="0" borderId="5" xfId="3" applyBorder="1"/>
    <xf numFmtId="0" fontId="6" fillId="0" borderId="6" xfId="3" applyBorder="1"/>
    <xf numFmtId="0" fontId="6" fillId="0" borderId="7" xfId="3" applyBorder="1"/>
    <xf numFmtId="0" fontId="6" fillId="0" borderId="8" xfId="3" applyBorder="1"/>
    <xf numFmtId="0" fontId="6" fillId="0" borderId="9" xfId="3" applyBorder="1"/>
    <xf numFmtId="0" fontId="6" fillId="0" borderId="10" xfId="3" applyBorder="1"/>
    <xf numFmtId="0" fontId="6" fillId="0" borderId="18" xfId="3" applyBorder="1"/>
    <xf numFmtId="0" fontId="6" fillId="0" borderId="3" xfId="3" applyBorder="1" applyAlignment="1">
      <alignment horizontal="center"/>
    </xf>
    <xf numFmtId="0" fontId="6" fillId="0" borderId="4" xfId="3" applyBorder="1" applyAlignment="1">
      <alignment horizontal="center"/>
    </xf>
    <xf numFmtId="0" fontId="6" fillId="0" borderId="5" xfId="3" applyBorder="1" applyAlignment="1">
      <alignment horizontal="center"/>
    </xf>
    <xf numFmtId="0" fontId="6" fillId="0" borderId="6" xfId="3" applyBorder="1" applyAlignment="1">
      <alignment horizontal="center"/>
    </xf>
    <xf numFmtId="0" fontId="6" fillId="0" borderId="0" xfId="3" applyAlignment="1">
      <alignment horizontal="center"/>
    </xf>
    <xf numFmtId="0" fontId="6" fillId="0" borderId="7" xfId="3" applyBorder="1" applyAlignment="1">
      <alignment horizontal="center"/>
    </xf>
    <xf numFmtId="0" fontId="2" fillId="0" borderId="6" xfId="2" applyFont="1" applyBorder="1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2" applyFont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1" applyBorder="1" applyAlignment="1">
      <alignment horizontal="center"/>
    </xf>
    <xf numFmtId="0" fontId="6" fillId="0" borderId="8" xfId="3" applyBorder="1" applyAlignment="1">
      <alignment horizontal="center"/>
    </xf>
    <xf numFmtId="0" fontId="6" fillId="0" borderId="9" xfId="3" applyBorder="1" applyAlignment="1">
      <alignment horizontal="center"/>
    </xf>
    <xf numFmtId="0" fontId="6" fillId="0" borderId="10" xfId="3" applyBorder="1" applyAlignment="1">
      <alignment horizontal="center"/>
    </xf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5" xfId="1" applyBorder="1"/>
    <xf numFmtId="0" fontId="2" fillId="0" borderId="10" xfId="1" applyBorder="1"/>
    <xf numFmtId="0" fontId="2" fillId="0" borderId="13" xfId="1" applyBorder="1"/>
    <xf numFmtId="0" fontId="4" fillId="0" borderId="11" xfId="0" applyFont="1" applyBorder="1"/>
    <xf numFmtId="0" fontId="2" fillId="0" borderId="17" xfId="1" applyBorder="1"/>
    <xf numFmtId="0" fontId="6" fillId="0" borderId="0" xfId="0" applyFont="1"/>
    <xf numFmtId="0" fontId="6" fillId="0" borderId="1" xfId="3" applyBorder="1"/>
    <xf numFmtId="0" fontId="4" fillId="0" borderId="0" xfId="3" applyFont="1"/>
    <xf numFmtId="0" fontId="0" fillId="2" borderId="3" xfId="0" applyFill="1" applyBorder="1"/>
    <xf numFmtId="0" fontId="0" fillId="2" borderId="11" xfId="0" applyFill="1" applyBorder="1"/>
    <xf numFmtId="0" fontId="0" fillId="2" borderId="6" xfId="0" applyFill="1" applyBorder="1"/>
    <xf numFmtId="0" fontId="0" fillId="2" borderId="8" xfId="0" applyFill="1" applyBorder="1"/>
    <xf numFmtId="0" fontId="0" fillId="3" borderId="0" xfId="0" applyFill="1"/>
    <xf numFmtId="0" fontId="6" fillId="3" borderId="0" xfId="3" applyFill="1"/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2" borderId="6" xfId="0" applyFont="1" applyFill="1" applyBorder="1"/>
    <xf numFmtId="0" fontId="2" fillId="2" borderId="11" xfId="1" applyFill="1" applyBorder="1"/>
    <xf numFmtId="0" fontId="2" fillId="2" borderId="12" xfId="1" applyFill="1" applyBorder="1"/>
    <xf numFmtId="0" fontId="2" fillId="2" borderId="11" xfId="0" applyFont="1" applyFill="1" applyBorder="1"/>
    <xf numFmtId="0" fontId="0" fillId="4" borderId="3" xfId="0" applyFill="1" applyBorder="1"/>
    <xf numFmtId="0" fontId="2" fillId="4" borderId="6" xfId="0" applyFont="1" applyFill="1" applyBorder="1"/>
    <xf numFmtId="0" fontId="0" fillId="4" borderId="6" xfId="0" applyFill="1" applyBorder="1"/>
    <xf numFmtId="0" fontId="2" fillId="4" borderId="6" xfId="1" applyFill="1" applyBorder="1"/>
    <xf numFmtId="0" fontId="0" fillId="4" borderId="8" xfId="0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4" xfId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9" xfId="1" applyFill="1" applyBorder="1"/>
    <xf numFmtId="0" fontId="0" fillId="5" borderId="6" xfId="0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4" xfId="1" applyFill="1" applyBorder="1"/>
    <xf numFmtId="0" fontId="4" fillId="5" borderId="6" xfId="1" applyFont="1" applyFill="1" applyBorder="1"/>
    <xf numFmtId="0" fontId="2" fillId="5" borderId="6" xfId="0" applyFont="1" applyFill="1" applyBorder="1"/>
    <xf numFmtId="0" fontId="0" fillId="5" borderId="8" xfId="0" applyFill="1" applyBorder="1"/>
    <xf numFmtId="0" fontId="4" fillId="5" borderId="8" xfId="0" applyFont="1" applyFill="1" applyBorder="1"/>
    <xf numFmtId="0" fontId="2" fillId="5" borderId="9" xfId="0" applyFont="1" applyFill="1" applyBorder="1"/>
    <xf numFmtId="0" fontId="4" fillId="5" borderId="9" xfId="0" applyFont="1" applyFill="1" applyBorder="1"/>
    <xf numFmtId="0" fontId="2" fillId="5" borderId="8" xfId="1" applyFill="1" applyBorder="1"/>
    <xf numFmtId="0" fontId="2" fillId="5" borderId="9" xfId="1" applyFill="1" applyBorder="1"/>
    <xf numFmtId="0" fontId="2" fillId="0" borderId="1" xfId="0" applyFon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13" xfId="0" applyNumberFormat="1" applyBorder="1"/>
    <xf numFmtId="2" fontId="0" fillId="0" borderId="4" xfId="0" applyNumberFormat="1" applyBorder="1"/>
    <xf numFmtId="2" fontId="1" fillId="0" borderId="7" xfId="0" applyNumberFormat="1" applyFont="1" applyBorder="1"/>
    <xf numFmtId="2" fontId="0" fillId="0" borderId="3" xfId="0" applyNumberFormat="1" applyBorder="1"/>
    <xf numFmtId="2" fontId="0" fillId="0" borderId="6" xfId="0" applyNumberFormat="1" applyBorder="1"/>
    <xf numFmtId="2" fontId="1" fillId="0" borderId="6" xfId="0" applyNumberFormat="1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2" fontId="0" fillId="0" borderId="11" xfId="0" applyNumberFormat="1" applyBorder="1"/>
    <xf numFmtId="0" fontId="6" fillId="0" borderId="7" xfId="0" applyFont="1" applyBorder="1"/>
    <xf numFmtId="2" fontId="0" fillId="0" borderId="9" xfId="0" applyNumberFormat="1" applyBorder="1"/>
    <xf numFmtId="2" fontId="1" fillId="0" borderId="9" xfId="0" applyNumberFormat="1" applyFont="1" applyBorder="1"/>
    <xf numFmtId="2" fontId="0" fillId="0" borderId="10" xfId="0" applyNumberFormat="1" applyBorder="1"/>
    <xf numFmtId="2" fontId="0" fillId="0" borderId="8" xfId="0" applyNumberFormat="1" applyBorder="1"/>
    <xf numFmtId="0" fontId="2" fillId="4" borderId="0" xfId="0" applyFont="1" applyFill="1"/>
    <xf numFmtId="0" fontId="2" fillId="4" borderId="0" xfId="1" applyFill="1"/>
    <xf numFmtId="0" fontId="4" fillId="4" borderId="7" xfId="1" applyFont="1" applyFill="1" applyBorder="1"/>
    <xf numFmtId="0" fontId="4" fillId="4" borderId="0" xfId="0" applyFont="1" applyFill="1"/>
    <xf numFmtId="0" fontId="2" fillId="4" borderId="7" xfId="1" applyFill="1" applyBorder="1"/>
    <xf numFmtId="0" fontId="4" fillId="5" borderId="5" xfId="1" applyFont="1" applyFill="1" applyBorder="1"/>
    <xf numFmtId="0" fontId="2" fillId="5" borderId="0" xfId="0" applyFont="1" applyFill="1"/>
    <xf numFmtId="0" fontId="4" fillId="5" borderId="0" xfId="0" applyFont="1" applyFill="1"/>
    <xf numFmtId="0" fontId="2" fillId="5" borderId="0" xfId="1" applyFill="1"/>
    <xf numFmtId="0" fontId="2" fillId="5" borderId="7" xfId="1" applyFill="1" applyBorder="1"/>
    <xf numFmtId="0" fontId="2" fillId="5" borderId="10" xfId="1" applyFill="1" applyBorder="1"/>
    <xf numFmtId="0" fontId="2" fillId="2" borderId="0" xfId="0" applyFont="1" applyFill="1"/>
    <xf numFmtId="0" fontId="2" fillId="2" borderId="0" xfId="1" applyFill="1"/>
    <xf numFmtId="0" fontId="4" fillId="2" borderId="7" xfId="1" applyFont="1" applyFill="1" applyBorder="1"/>
    <xf numFmtId="0" fontId="4" fillId="2" borderId="13" xfId="1" applyFont="1" applyFill="1" applyBorder="1"/>
    <xf numFmtId="0" fontId="4" fillId="4" borderId="5" xfId="1" applyFont="1" applyFill="1" applyBorder="1"/>
    <xf numFmtId="0" fontId="4" fillId="4" borderId="10" xfId="1" applyFont="1" applyFill="1" applyBorder="1"/>
    <xf numFmtId="0" fontId="4" fillId="4" borderId="6" xfId="1" applyFont="1" applyFill="1" applyBorder="1"/>
    <xf numFmtId="0" fontId="4" fillId="4" borderId="6" xfId="0" applyFont="1" applyFill="1" applyBorder="1"/>
    <xf numFmtId="0" fontId="4" fillId="5" borderId="3" xfId="1" applyFont="1" applyFill="1" applyBorder="1"/>
    <xf numFmtId="0" fontId="2" fillId="5" borderId="6" xfId="1" applyFill="1" applyBorder="1"/>
    <xf numFmtId="0" fontId="4" fillId="2" borderId="6" xfId="1" applyFont="1" applyFill="1" applyBorder="1"/>
    <xf numFmtId="0" fontId="4" fillId="2" borderId="11" xfId="1" applyFont="1" applyFill="1" applyBorder="1"/>
    <xf numFmtId="0" fontId="4" fillId="4" borderId="3" xfId="1" applyFont="1" applyFill="1" applyBorder="1"/>
    <xf numFmtId="0" fontId="4" fillId="4" borderId="8" xfId="1" applyFont="1" applyFill="1" applyBorder="1"/>
    <xf numFmtId="0" fontId="2" fillId="4" borderId="7" xfId="0" applyFont="1" applyFill="1" applyBorder="1"/>
    <xf numFmtId="0" fontId="2" fillId="5" borderId="5" xfId="0" applyFont="1" applyFill="1" applyBorder="1"/>
    <xf numFmtId="0" fontId="2" fillId="5" borderId="7" xfId="0" applyFont="1" applyFill="1" applyBorder="1"/>
    <xf numFmtId="0" fontId="2" fillId="5" borderId="10" xfId="0" applyFont="1" applyFill="1" applyBorder="1"/>
    <xf numFmtId="0" fontId="2" fillId="2" borderId="7" xfId="0" applyFont="1" applyFill="1" applyBorder="1"/>
    <xf numFmtId="0" fontId="2" fillId="2" borderId="13" xfId="1" applyFill="1" applyBorder="1"/>
    <xf numFmtId="0" fontId="2" fillId="4" borderId="5" xfId="0" applyFont="1" applyFill="1" applyBorder="1"/>
    <xf numFmtId="0" fontId="2" fillId="4" borderId="10" xfId="0" applyFont="1" applyFill="1" applyBorder="1"/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2" fontId="0" fillId="0" borderId="12" xfId="0" applyNumberForma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4" xfId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5" xfId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/>
    <xf numFmtId="0" fontId="2" fillId="0" borderId="11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4" fillId="5" borderId="6" xfId="0" applyFont="1" applyFill="1" applyBorder="1"/>
    <xf numFmtId="0" fontId="2" fillId="5" borderId="0" xfId="0" applyFont="1" applyFill="1" applyBorder="1"/>
    <xf numFmtId="0" fontId="4" fillId="5" borderId="0" xfId="0" applyFont="1" applyFill="1" applyBorder="1"/>
    <xf numFmtId="0" fontId="2" fillId="5" borderId="0" xfId="1" applyFill="1" applyBorder="1"/>
    <xf numFmtId="0" fontId="2" fillId="2" borderId="6" xfId="1" applyFill="1" applyBorder="1"/>
    <xf numFmtId="0" fontId="2" fillId="2" borderId="0" xfId="1" applyFill="1" applyBorder="1"/>
    <xf numFmtId="0" fontId="2" fillId="2" borderId="7" xfId="1" applyFill="1" applyBorder="1"/>
  </cellXfs>
  <cellStyles count="4">
    <cellStyle name="Normal" xfId="0" builtinId="0"/>
    <cellStyle name="Normal 2" xfId="1" xr:uid="{9B6ECEAE-D59D-4DFA-8FF5-F60D255A8F5D}"/>
    <cellStyle name="Normal 3" xfId="2" xr:uid="{03700250-DF50-4095-8A73-E9B0C89E64F1}"/>
    <cellStyle name="Normal 4" xfId="3" xr:uid="{8993D756-9AD8-492F-8CE2-B7ED32A4E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ADF8-BD45-48CD-9E6F-1F6949D29AB9}">
  <dimension ref="D4:AL261"/>
  <sheetViews>
    <sheetView topLeftCell="A12" zoomScale="85" zoomScaleNormal="85" workbookViewId="0">
      <selection activeCell="B91" sqref="B91"/>
    </sheetView>
  </sheetViews>
  <sheetFormatPr defaultRowHeight="15" x14ac:dyDescent="0.25"/>
  <cols>
    <col min="4" max="4" width="14.5703125" bestFit="1" customWidth="1"/>
  </cols>
  <sheetData>
    <row r="4" spans="4:16" ht="15.75" thickBot="1" x14ac:dyDescent="0.3"/>
    <row r="5" spans="4:16" ht="15.75" thickBot="1" x14ac:dyDescent="0.3">
      <c r="D5" s="217" t="s">
        <v>30</v>
      </c>
      <c r="E5" s="218"/>
      <c r="F5" s="218"/>
      <c r="G5" s="218"/>
      <c r="H5" s="218"/>
      <c r="I5" s="218"/>
      <c r="J5" s="218"/>
      <c r="K5" s="218"/>
      <c r="L5" s="218"/>
      <c r="M5" s="219"/>
      <c r="N5" s="16"/>
      <c r="O5" s="16"/>
      <c r="P5" s="16"/>
    </row>
    <row r="6" spans="4:16" x14ac:dyDescent="0.25">
      <c r="D6" s="211" t="s">
        <v>1035</v>
      </c>
      <c r="E6" s="220" t="s">
        <v>46</v>
      </c>
      <c r="F6" s="221"/>
      <c r="G6" s="221"/>
      <c r="H6" s="214" t="s">
        <v>34</v>
      </c>
      <c r="I6" s="216"/>
      <c r="J6" s="215"/>
      <c r="K6" s="216" t="s">
        <v>32</v>
      </c>
      <c r="L6" s="216"/>
      <c r="M6" s="215"/>
      <c r="N6" s="16"/>
      <c r="O6" s="16"/>
      <c r="P6" s="16"/>
    </row>
    <row r="7" spans="4:16" ht="15.75" thickBot="1" x14ac:dyDescent="0.3">
      <c r="D7" s="212"/>
      <c r="E7" s="3" t="s">
        <v>1572</v>
      </c>
      <c r="F7" t="s">
        <v>1533</v>
      </c>
      <c r="G7" t="s">
        <v>48</v>
      </c>
      <c r="H7" s="3" t="s">
        <v>1572</v>
      </c>
      <c r="I7" t="s">
        <v>1533</v>
      </c>
      <c r="J7" s="6" t="s">
        <v>48</v>
      </c>
      <c r="K7" t="s">
        <v>1572</v>
      </c>
      <c r="L7" t="s">
        <v>1533</v>
      </c>
      <c r="M7" s="6" t="s">
        <v>48</v>
      </c>
      <c r="N7" s="16"/>
      <c r="O7" s="16"/>
      <c r="P7" s="16"/>
    </row>
    <row r="8" spans="4:16" x14ac:dyDescent="0.25">
      <c r="D8" s="2" t="s">
        <v>1561</v>
      </c>
      <c r="E8" s="2" t="str">
        <f>IF(ISNUMBER(FIND("±", results!B8)), LEFT(results!B8, FIND("±", results!B8) - 1), results!B8)</f>
        <v xml:space="preserve">93.00 </v>
      </c>
      <c r="F8" s="14" t="str">
        <f>IF(ISNUMBER(FIND("±", results!C8)), LEFT(results!C8, FIND("±", results!C8) - 1), results!C8)</f>
        <v xml:space="preserve">2.02 </v>
      </c>
      <c r="G8" s="14" t="str">
        <f>IF(ISNUMBER(FIND("±", results!D8)), LEFT(results!D8, FIND("±", results!D8) - 1), results!D8)</f>
        <v xml:space="preserve">1.03 </v>
      </c>
      <c r="H8" s="2" t="str">
        <f>IF(ISNUMBER(FIND("±", results!E8)), LEFT(results!E8, FIND("±", results!E8) - 1), results!E8)</f>
        <v xml:space="preserve">140.72 </v>
      </c>
      <c r="I8" s="14" t="str">
        <f>IF(ISNUMBER(FIND("±", results!F8)), LEFT(results!F8, FIND("±", results!F8) - 1), results!F8)</f>
        <v xml:space="preserve">0.00 </v>
      </c>
      <c r="J8" s="5" t="str">
        <f>IF(ISNUMBER(FIND("±", results!G8)), LEFT(results!G8, FIND("±", results!G8) - 1), results!G8)</f>
        <v xml:space="preserve">3.13 </v>
      </c>
      <c r="K8" s="14" t="str">
        <f>IF(ISNUMBER(FIND("±", results!H8)), LEFT(results!H8, FIND("±", results!H8) - 1), results!H8)</f>
        <v xml:space="preserve">73.96 </v>
      </c>
      <c r="L8" s="14" t="str">
        <f>IF(ISNUMBER(FIND("±", results!I8)), LEFT(results!I8, FIND("±", results!I8) - 1), results!I8)</f>
        <v xml:space="preserve">0.10 </v>
      </c>
      <c r="M8" s="5" t="str">
        <f>IF(ISNUMBER(FIND("±", results!J8)), LEFT(results!J8, FIND("±", results!J8) - 1), results!J8)</f>
        <v xml:space="preserve">0.77 </v>
      </c>
    </row>
    <row r="9" spans="4:16" x14ac:dyDescent="0.25">
      <c r="D9" s="3" t="s">
        <v>1562</v>
      </c>
      <c r="E9" s="3" t="str">
        <f>IF(ISNUMBER(FIND("±", results!B9)), LEFT(results!B9, FIND("±", results!B9) - 1), results!B9)</f>
        <v xml:space="preserve">109.82 </v>
      </c>
      <c r="F9" t="str">
        <f>IF(ISNUMBER(FIND("±", results!C9)), LEFT(results!C9, FIND("±", results!C9) - 1), results!C9)</f>
        <v xml:space="preserve">3.16 </v>
      </c>
      <c r="G9" t="str">
        <f>IF(ISNUMBER(FIND("±", results!D9)), LEFT(results!D9, FIND("±", results!D9) - 1), results!D9)</f>
        <v xml:space="preserve">1.94 </v>
      </c>
      <c r="H9" s="3" t="str">
        <f>IF(ISNUMBER(FIND("±", results!E9)), LEFT(results!E9, FIND("±", results!E9) - 1), results!E9)</f>
        <v xml:space="preserve">151.78 </v>
      </c>
      <c r="I9" t="str">
        <f>IF(ISNUMBER(FIND("±", results!F9)), LEFT(results!F9, FIND("±", results!F9) - 1), results!F9)</f>
        <v xml:space="preserve">0.00 </v>
      </c>
      <c r="J9" s="6" t="str">
        <f>IF(ISNUMBER(FIND("±", results!G9)), LEFT(results!G9, FIND("±", results!G9) - 1), results!G9)</f>
        <v xml:space="preserve">5.41 </v>
      </c>
      <c r="K9" t="str">
        <f>IF(ISNUMBER(FIND("±", results!H9)), LEFT(results!H9, FIND("±", results!H9) - 1), results!H9)</f>
        <v xml:space="preserve">88.24 </v>
      </c>
      <c r="L9" t="str">
        <f>IF(ISNUMBER(FIND("±", results!I9)), LEFT(results!I9, FIND("±", results!I9) - 1), results!I9)</f>
        <v xml:space="preserve">0.32 </v>
      </c>
      <c r="M9" s="6" t="str">
        <f>IF(ISNUMBER(FIND("±", results!J9)), LEFT(results!J9, FIND("±", results!J9) - 1), results!J9)</f>
        <v xml:space="preserve">1.33 </v>
      </c>
    </row>
    <row r="10" spans="4:16" ht="15.75" thickBot="1" x14ac:dyDescent="0.3">
      <c r="D10" s="4" t="s">
        <v>1563</v>
      </c>
      <c r="E10" s="3" t="str">
        <f>IF(ISNUMBER(FIND("±", results!B10)), LEFT(results!B10, FIND("±", results!B10) - 1), results!B10)</f>
        <v xml:space="preserve">175.70 </v>
      </c>
      <c r="F10" t="str">
        <f>IF(ISNUMBER(FIND("±", results!C10)), LEFT(results!C10, FIND("±", results!C10) - 1), results!C10)</f>
        <v xml:space="preserve">3.40 </v>
      </c>
      <c r="G10" t="str">
        <f>IF(ISNUMBER(FIND("±", results!D10)), LEFT(results!D10, FIND("±", results!D10) - 1), results!D10)</f>
        <v xml:space="preserve">4.01 </v>
      </c>
      <c r="H10" s="3" t="str">
        <f>IF(ISNUMBER(FIND("±", results!E10)), LEFT(results!E10, FIND("±", results!E10) - 1), results!E10)</f>
        <v xml:space="preserve">247.32 </v>
      </c>
      <c r="I10" t="str">
        <f>IF(ISNUMBER(FIND("±", results!F10)), LEFT(results!F10, FIND("±", results!F10) - 1), results!F10)</f>
        <v xml:space="preserve">0.00 </v>
      </c>
      <c r="J10" s="6" t="str">
        <f>IF(ISNUMBER(FIND("±", results!G10)), LEFT(results!G10, FIND("±", results!G10) - 1), results!G10)</f>
        <v xml:space="preserve">11.45 </v>
      </c>
      <c r="K10" t="str">
        <f>IF(ISNUMBER(FIND("±", results!H10)), LEFT(results!H10, FIND("±", results!H10) - 1), results!H10)</f>
        <v xml:space="preserve">141.32 </v>
      </c>
      <c r="L10" t="str">
        <f>IF(ISNUMBER(FIND("±", results!I10)), LEFT(results!I10, FIND("±", results!I10) - 1), results!I10)</f>
        <v xml:space="preserve">0.14 </v>
      </c>
      <c r="M10" s="6" t="str">
        <f>IF(ISNUMBER(FIND("±", results!J10)), LEFT(results!J10, FIND("±", results!J10) - 1), results!J10)</f>
        <v xml:space="preserve">2.71 </v>
      </c>
    </row>
    <row r="11" spans="4:16" x14ac:dyDescent="0.25">
      <c r="D11" s="3" t="s">
        <v>1564</v>
      </c>
      <c r="E11" s="2" t="str">
        <f>IF(ISNUMBER(FIND("±", results!B11)), LEFT(results!B11, FIND("±", results!B11) - 1), results!B11)</f>
        <v xml:space="preserve">694.66 </v>
      </c>
      <c r="F11" s="14" t="str">
        <f>IF(ISNUMBER(FIND("±", results!C11)), LEFT(results!C11, FIND("±", results!C11) - 1), results!C11)</f>
        <v xml:space="preserve">3.64 </v>
      </c>
      <c r="G11" s="14" t="str">
        <f>IF(ISNUMBER(FIND("±", results!D11)), LEFT(results!D11, FIND("±", results!D11) - 1), results!D11)</f>
        <v xml:space="preserve">47.25 </v>
      </c>
      <c r="H11" s="2" t="str">
        <f>IF(ISNUMBER(FIND("±", results!E11)), LEFT(results!E11, FIND("±", results!E11) - 1), results!E11)</f>
        <v xml:space="preserve">784.64 </v>
      </c>
      <c r="I11" s="14" t="str">
        <f>IF(ISNUMBER(FIND("±", results!F11)), LEFT(results!F11, FIND("±", results!F11) - 1), results!F11)</f>
        <v xml:space="preserve">0.00 </v>
      </c>
      <c r="J11" s="5" t="str">
        <f>IF(ISNUMBER(FIND("±", results!G11)), LEFT(results!G11, FIND("±", results!G11) - 1), results!G11)</f>
        <v xml:space="preserve">57.78 </v>
      </c>
      <c r="K11" s="14" t="str">
        <f>IF(ISNUMBER(FIND("±", results!H11)), LEFT(results!H11, FIND("±", results!H11) - 1), results!H11)</f>
        <v xml:space="preserve">738.94 </v>
      </c>
      <c r="L11" s="14" t="str">
        <f>IF(ISNUMBER(FIND("±", results!I11)), LEFT(results!I11, FIND("±", results!I11) - 1), results!I11)</f>
        <v xml:space="preserve">0.88 </v>
      </c>
      <c r="M11" s="5" t="str">
        <f>IF(ISNUMBER(FIND("±", results!J11)), LEFT(results!J11, FIND("±", results!J11) - 1), results!J11)</f>
        <v xml:space="preserve">49.58 </v>
      </c>
    </row>
    <row r="12" spans="4:16" x14ac:dyDescent="0.25">
      <c r="D12" s="3" t="s">
        <v>1565</v>
      </c>
      <c r="E12" s="3" t="str">
        <f>IF(ISNUMBER(FIND("±", results!B12)), LEFT(results!B12, FIND("±", results!B12) - 1), results!B12)</f>
        <v xml:space="preserve">468.30 </v>
      </c>
      <c r="F12" t="str">
        <f>IF(ISNUMBER(FIND("±", results!C12)), LEFT(results!C12, FIND("±", results!C12) - 1), results!C12)</f>
        <v xml:space="preserve">1.24 </v>
      </c>
      <c r="G12" t="str">
        <f>IF(ISNUMBER(FIND("±", results!D12)), LEFT(results!D12, FIND("±", results!D12) - 1), results!D12)</f>
        <v xml:space="preserve">67.14 </v>
      </c>
      <c r="H12" s="3" t="str">
        <f>IF(ISNUMBER(FIND("±", results!E12)), LEFT(results!E12, FIND("±", results!E12) - 1), results!E12)</f>
        <v xml:space="preserve">491.42 </v>
      </c>
      <c r="I12" t="str">
        <f>IF(ISNUMBER(FIND("±", results!F12)), LEFT(results!F12, FIND("±", results!F12) - 1), results!F12)</f>
        <v xml:space="preserve">0.00 </v>
      </c>
      <c r="J12" s="6" t="str">
        <f>IF(ISNUMBER(FIND("±", results!G12)), LEFT(results!G12, FIND("±", results!G12) - 1), results!G12)</f>
        <v xml:space="preserve">79.38 </v>
      </c>
      <c r="K12" t="str">
        <f>IF(ISNUMBER(FIND("±", results!H12)), LEFT(results!H12, FIND("±", results!H12) - 1), results!H12)</f>
        <v xml:space="preserve">464.86 </v>
      </c>
      <c r="L12" t="str">
        <f>IF(ISNUMBER(FIND("±", results!I12)), LEFT(results!I12, FIND("±", results!I12) - 1), results!I12)</f>
        <v xml:space="preserve">0.44 </v>
      </c>
      <c r="M12" s="6" t="str">
        <f>IF(ISNUMBER(FIND("±", results!J12)), LEFT(results!J12, FIND("±", results!J12) - 1), results!J12)</f>
        <v xml:space="preserve">65.27 </v>
      </c>
    </row>
    <row r="13" spans="4:16" ht="15.75" thickBot="1" x14ac:dyDescent="0.3">
      <c r="D13" s="3" t="s">
        <v>1566</v>
      </c>
      <c r="E13" s="4" t="str">
        <f>IF(ISNUMBER(FIND("±", results!B13)), LEFT(results!B13, FIND("±", results!B13) - 1), results!B13)</f>
        <v xml:space="preserve">888.42 </v>
      </c>
      <c r="F13" s="15" t="str">
        <f>IF(ISNUMBER(FIND("±", results!C13)), LEFT(results!C13, FIND("±", results!C13) - 1), results!C13)</f>
        <v xml:space="preserve">2.48 </v>
      </c>
      <c r="G13" s="15" t="str">
        <f>IF(ISNUMBER(FIND("±", results!D13)), LEFT(results!D13, FIND("±", results!D13) - 1), results!D13)</f>
        <v xml:space="preserve">149.29 </v>
      </c>
      <c r="H13" s="4" t="str">
        <f>IF(ISNUMBER(FIND("±", results!E13)), LEFT(results!E13, FIND("±", results!E13) - 1), results!E13)</f>
        <v xml:space="preserve">936.42 </v>
      </c>
      <c r="I13" s="15" t="str">
        <f>IF(ISNUMBER(FIND("±", results!F13)), LEFT(results!F13, FIND("±", results!F13) - 1), results!F13)</f>
        <v xml:space="preserve">0.00 </v>
      </c>
      <c r="J13" s="7" t="str">
        <f>IF(ISNUMBER(FIND("±", results!G13)), LEFT(results!G13, FIND("±", results!G13) - 1), results!G13)</f>
        <v xml:space="preserve">160.43 </v>
      </c>
      <c r="K13" s="15" t="str">
        <f>IF(ISNUMBER(FIND("±", results!H13)), LEFT(results!H13, FIND("±", results!H13) - 1), results!H13)</f>
        <v xml:space="preserve">956.64 </v>
      </c>
      <c r="L13" s="15" t="str">
        <f>IF(ISNUMBER(FIND("±", results!I13)), LEFT(results!I13, FIND("±", results!I13) - 1), results!I13)</f>
        <v xml:space="preserve">0.52 </v>
      </c>
      <c r="M13" s="7" t="str">
        <f>IF(ISNUMBER(FIND("±", results!J13)), LEFT(results!J13, FIND("±", results!J13) - 1), results!J13)</f>
        <v xml:space="preserve">157.74 </v>
      </c>
    </row>
    <row r="14" spans="4:16" ht="15.75" thickBot="1" x14ac:dyDescent="0.3">
      <c r="D14" s="8" t="s">
        <v>1567</v>
      </c>
      <c r="E14" s="3" t="str">
        <f>IF(ISNUMBER(FIND("±", results!B13)), LEFT(results!B13, FIND("±", results!B13) - 1), results!B13)</f>
        <v xml:space="preserve">888.42 </v>
      </c>
      <c r="F14" t="str">
        <f>IF(ISNUMBER(FIND("±", results!C13)), LEFT(results!C13, FIND("±", results!C13) - 1), results!C13)</f>
        <v xml:space="preserve">2.48 </v>
      </c>
      <c r="G14" t="str">
        <f>IF(ISNUMBER(FIND("±", results!D13)), LEFT(results!D13, FIND("±", results!D13) - 1), results!D13)</f>
        <v xml:space="preserve">149.29 </v>
      </c>
      <c r="H14" s="3" t="str">
        <f>IF(ISNUMBER(FIND("±", results!E13)), LEFT(results!E13, FIND("±", results!E13) - 1), results!E13)</f>
        <v xml:space="preserve">936.42 </v>
      </c>
      <c r="I14" t="str">
        <f>IF(ISNUMBER(FIND("±", results!F13)), LEFT(results!F13, FIND("±", results!F13) - 1), results!F13)</f>
        <v xml:space="preserve">0.00 </v>
      </c>
      <c r="J14" s="6" t="str">
        <f>IF(ISNUMBER(FIND("±", results!G13)), LEFT(results!G13, FIND("±", results!G13) - 1), results!G13)</f>
        <v xml:space="preserve">160.43 </v>
      </c>
      <c r="K14" t="str">
        <f>IF(ISNUMBER(FIND("±", results!H13)), LEFT(results!H13, FIND("±", results!H13) - 1), results!H13)</f>
        <v xml:space="preserve">956.64 </v>
      </c>
      <c r="L14" t="str">
        <f>IF(ISNUMBER(FIND("±", results!I13)), LEFT(results!I13, FIND("±", results!I13) - 1), results!I13)</f>
        <v xml:space="preserve">0.52 </v>
      </c>
      <c r="M14" s="6" t="str">
        <f>IF(ISNUMBER(FIND("±", results!J13)), LEFT(results!J13, FIND("±", results!J13) - 1), results!J13)</f>
        <v xml:space="preserve">157.74 </v>
      </c>
    </row>
    <row r="15" spans="4:16" ht="15.75" thickBot="1" x14ac:dyDescent="0.3">
      <c r="D15" s="8" t="s">
        <v>2232</v>
      </c>
      <c r="E15" s="3">
        <f>IF(ISNUMBER(FIND("±", results!B15)), LEFT(results!B15, FIND("±", results!B15) - 1), results!B15)</f>
        <v>0</v>
      </c>
      <c r="F15">
        <f>IF(ISNUMBER(FIND("±", results!C15)), LEFT(results!C15, FIND("±", results!C15) - 1), results!C15)</f>
        <v>0</v>
      </c>
      <c r="G15">
        <f>IF(ISNUMBER(FIND("±", results!D15)), LEFT(results!D15, FIND("±", results!D15) - 1), results!D15)</f>
        <v>0</v>
      </c>
      <c r="H15" s="3">
        <f>IF(ISNUMBER(FIND("±", results!E15)), LEFT(results!E15, FIND("±", results!E15) - 1), results!E15)</f>
        <v>0</v>
      </c>
      <c r="I15">
        <f>IF(ISNUMBER(FIND("±", results!F15)), LEFT(results!F15, FIND("±", results!F15) - 1), results!F15)</f>
        <v>0</v>
      </c>
      <c r="J15" s="6">
        <f>IF(ISNUMBER(FIND("±", results!G15)), LEFT(results!G15, FIND("±", results!G15) - 1), results!G15)</f>
        <v>0</v>
      </c>
      <c r="K15">
        <f>IF(ISNUMBER(FIND("±", results!H15)), LEFT(results!H15, FIND("±", results!H15) - 1), results!H15)</f>
        <v>0</v>
      </c>
      <c r="L15">
        <f>IF(ISNUMBER(FIND("±", results!I15)), LEFT(results!I15, FIND("±", results!I15) - 1), results!I15)</f>
        <v>0</v>
      </c>
      <c r="M15" s="6">
        <f>IF(ISNUMBER(FIND("±", results!J15)), LEFT(results!J15, FIND("±", results!J15) - 1), results!J15)</f>
        <v>0</v>
      </c>
    </row>
    <row r="16" spans="4:16" ht="15.75" thickBot="1" x14ac:dyDescent="0.3">
      <c r="D16" s="3" t="s">
        <v>1568</v>
      </c>
      <c r="E16" s="8" t="str">
        <f>IF(ISNUMBER(FIND("±", results!B16)), LEFT(results!B16, FIND("±", results!B16) - 1), results!B16)</f>
        <v xml:space="preserve">27.17 </v>
      </c>
      <c r="F16" s="1" t="str">
        <f>IF(ISNUMBER(FIND("±", results!C16)), LEFT(results!C16, FIND("±", results!C16) - 1), results!C16)</f>
        <v xml:space="preserve">11.42 </v>
      </c>
      <c r="G16" s="1" t="str">
        <f>IF(ISNUMBER(FIND("±", results!D16)), LEFT(results!D16, FIND("±", results!D16) - 1), results!D16)</f>
        <v xml:space="preserve">0.35 </v>
      </c>
      <c r="H16" s="8" t="str">
        <f>IF(ISNUMBER(FIND("±", results!E16)), LEFT(results!E16, FIND("±", results!E16) - 1), results!E16)</f>
        <v xml:space="preserve">23.54 </v>
      </c>
      <c r="I16" s="1" t="str">
        <f>IF(ISNUMBER(FIND("±", results!F16)), LEFT(results!F16, FIND("±", results!F16) - 1), results!F16)</f>
        <v xml:space="preserve">0.00 </v>
      </c>
      <c r="J16" s="13" t="str">
        <f>IF(ISNUMBER(FIND("±", results!G16)), LEFT(results!G16, FIND("±", results!G16) - 1), results!G16)</f>
        <v xml:space="preserve">0.35 </v>
      </c>
      <c r="K16" s="1" t="str">
        <f>IF(ISNUMBER(FIND("±", results!H16)), LEFT(results!H16, FIND("±", results!H16) - 1), results!H16)</f>
        <v xml:space="preserve">13.33 </v>
      </c>
      <c r="L16" s="1" t="str">
        <f>IF(ISNUMBER(FIND("±", results!I16)), LEFT(results!I16, FIND("±", results!I16) - 1), results!I16)</f>
        <v xml:space="preserve">2.88 </v>
      </c>
      <c r="M16" s="13" t="str">
        <f>IF(ISNUMBER(FIND("±", results!J16)), LEFT(results!J16, FIND("±", results!J16) - 1), results!J16)</f>
        <v xml:space="preserve">0.16 </v>
      </c>
    </row>
    <row r="17" spans="4:38" ht="15.75" thickBot="1" x14ac:dyDescent="0.3">
      <c r="D17" s="3" t="s">
        <v>2235</v>
      </c>
      <c r="E17" s="3"/>
      <c r="F17" s="235"/>
      <c r="G17" s="235"/>
      <c r="H17" s="3"/>
      <c r="I17" s="235"/>
      <c r="J17" s="6"/>
      <c r="K17" s="235"/>
      <c r="L17" s="235"/>
      <c r="M17" s="6"/>
    </row>
    <row r="18" spans="4:38" x14ac:dyDescent="0.25">
      <c r="D18" s="2" t="s">
        <v>1045</v>
      </c>
      <c r="E18" s="3" t="str">
        <f>IF(ISNUMBER(FIND("±", results!B18)), LEFT(results!B18, FIND("±", results!B18) - 1), results!B18)</f>
        <v xml:space="preserve">184.12 </v>
      </c>
      <c r="F18" t="str">
        <f>IF(ISNUMBER(FIND("±", results!C18)), LEFT(results!C18, FIND("±", results!C18) - 1), results!C18)</f>
        <v xml:space="preserve">148.52 </v>
      </c>
      <c r="G18" t="str">
        <f>IF(ISNUMBER(FIND("±", results!D18)), LEFT(results!D18, FIND("±", results!D18) - 1), results!D18)</f>
        <v xml:space="preserve">3.46 </v>
      </c>
      <c r="H18" s="3" t="str">
        <f>IF(ISNUMBER(FIND("±", results!E18)), LEFT(results!E18, FIND("±", results!E18) - 1), results!E18)</f>
        <v xml:space="preserve">193.92 </v>
      </c>
      <c r="I18" t="str">
        <f>IF(ISNUMBER(FIND("±", results!F18)), LEFT(results!F18, FIND("±", results!F18) - 1), results!F18)</f>
        <v xml:space="preserve">0.00 </v>
      </c>
      <c r="J18" s="6" t="str">
        <f>IF(ISNUMBER(FIND("±", results!G18)), LEFT(results!G18, FIND("±", results!G18) - 1), results!G18)</f>
        <v xml:space="preserve">5.72 </v>
      </c>
      <c r="K18" t="str">
        <f>IF(ISNUMBER(FIND("±", results!H18)), LEFT(results!H18, FIND("±", results!H18) - 1), results!H18)</f>
        <v xml:space="preserve">61.66 </v>
      </c>
      <c r="L18" t="str">
        <f>IF(ISNUMBER(FIND("±", results!I18)), LEFT(results!I18, FIND("±", results!I18) - 1), results!I18)</f>
        <v xml:space="preserve">28.62 </v>
      </c>
      <c r="M18" s="6" t="str">
        <f>IF(ISNUMBER(FIND("±", results!J18)), LEFT(results!J18, FIND("±", results!J18) - 1), results!J18)</f>
        <v xml:space="preserve">0.51 </v>
      </c>
    </row>
    <row r="19" spans="4:38" ht="15.75" thickBot="1" x14ac:dyDescent="0.3">
      <c r="D19" s="4" t="s">
        <v>1569</v>
      </c>
      <c r="E19" s="3" t="str">
        <f>IF(ISNUMBER(FIND("±", results!B19)), LEFT(results!B19, FIND("±", results!B19) - 1), results!B19)</f>
        <v xml:space="preserve">675.10 </v>
      </c>
      <c r="F19" t="str">
        <f>IF(ISNUMBER(FIND("±", results!C19)), LEFT(results!C19, FIND("±", results!C19) - 1), results!C19)</f>
        <v xml:space="preserve">604.26 </v>
      </c>
      <c r="G19" t="str">
        <f>IF(ISNUMBER(FIND("±", results!D19)), LEFT(results!D19, FIND("±", results!D19) - 1), results!D19)</f>
        <v xml:space="preserve">126.98 </v>
      </c>
      <c r="H19" s="3" t="str">
        <f>IF(ISNUMBER(FIND("±", results!E19)), LEFT(results!E19, FIND("±", results!E19) - 1), results!E19)</f>
        <v xml:space="preserve">634.76 </v>
      </c>
      <c r="I19" t="str">
        <f>IF(ISNUMBER(FIND("±", results!F19)), LEFT(results!F19, FIND("±", results!F19) - 1), results!F19)</f>
        <v xml:space="preserve">0.00 </v>
      </c>
      <c r="J19" s="6" t="str">
        <f>IF(ISNUMBER(FIND("±", results!G19)), LEFT(results!G19, FIND("±", results!G19) - 1), results!G19)</f>
        <v xml:space="preserve">194.14 </v>
      </c>
      <c r="K19" t="str">
        <f>IF(ISNUMBER(FIND("±", results!H19)), LEFT(results!H19, FIND("±", results!H19) - 1), results!H19)</f>
        <v xml:space="preserve">193.46 </v>
      </c>
      <c r="L19" t="str">
        <f>IF(ISNUMBER(FIND("±", results!I19)), LEFT(results!I19, FIND("±", results!I19) - 1), results!I19)</f>
        <v xml:space="preserve">118.76 </v>
      </c>
      <c r="M19" s="6" t="str">
        <f>IF(ISNUMBER(FIND("±", results!J19)), LEFT(results!J19, FIND("±", results!J19) - 1), results!J19)</f>
        <v xml:space="preserve">10.51 </v>
      </c>
    </row>
    <row r="20" spans="4:38" x14ac:dyDescent="0.25">
      <c r="D20" s="3" t="s">
        <v>1570</v>
      </c>
      <c r="E20" s="2" t="str">
        <f>IF(ISNUMBER(FIND("±", results!B20)), LEFT(results!B20, FIND("±", results!B20) - 1), results!B20)</f>
        <v xml:space="preserve">111.70 </v>
      </c>
      <c r="F20" s="14" t="str">
        <f>IF(ISNUMBER(FIND("±", results!C20)), LEFT(results!C20, FIND("±", results!C20) - 1), results!C20)</f>
        <v xml:space="preserve">44.76 </v>
      </c>
      <c r="G20" s="14" t="str">
        <f>IF(ISNUMBER(FIND("±", results!D20)), LEFT(results!D20, FIND("±", results!D20) - 1), results!D20)</f>
        <v xml:space="preserve">4.24 </v>
      </c>
      <c r="H20" s="2" t="str">
        <f>IF(ISNUMBER(FIND("±", results!E20)), LEFT(results!E20, FIND("±", results!E20) - 1), results!E20)</f>
        <v xml:space="preserve">112.70 </v>
      </c>
      <c r="I20" s="14" t="str">
        <f>IF(ISNUMBER(FIND("±", results!F20)), LEFT(results!F20, FIND("±", results!F20) - 1), results!F20)</f>
        <v xml:space="preserve">0.00 </v>
      </c>
      <c r="J20" s="5" t="str">
        <f>IF(ISNUMBER(FIND("±", results!G20)), LEFT(results!G20, FIND("±", results!G20) - 1), results!G20)</f>
        <v xml:space="preserve">4.51 </v>
      </c>
      <c r="K20" s="14" t="str">
        <f>IF(ISNUMBER(FIND("±", results!H20)), LEFT(results!H20, FIND("±", results!H20) - 1), results!H20)</f>
        <v xml:space="preserve">96.44 </v>
      </c>
      <c r="L20" s="14" t="str">
        <f>IF(ISNUMBER(FIND("±", results!I20)), LEFT(results!I20, FIND("±", results!I20) - 1), results!I20)</f>
        <v xml:space="preserve">16.28 </v>
      </c>
      <c r="M20" s="5" t="str">
        <f>IF(ISNUMBER(FIND("±", results!J20)), LEFT(results!J20, FIND("±", results!J20) - 1), results!J20)</f>
        <v xml:space="preserve">1.79 </v>
      </c>
    </row>
    <row r="21" spans="4:38" ht="15.75" thickBot="1" x14ac:dyDescent="0.3">
      <c r="D21" s="4" t="s">
        <v>1571</v>
      </c>
      <c r="E21" s="4" t="str">
        <f>IF(ISNUMBER(FIND("±", results!B21)), LEFT(results!B21, FIND("±", results!B21) - 1), results!B21)</f>
        <v xml:space="preserve">144.54 </v>
      </c>
      <c r="F21" s="15" t="str">
        <f>IF(ISNUMBER(FIND("±", results!C21)), LEFT(results!C21, FIND("±", results!C21) - 1), results!C21)</f>
        <v xml:space="preserve">62.50 </v>
      </c>
      <c r="G21" s="15" t="str">
        <f>IF(ISNUMBER(FIND("±", results!D21)), LEFT(results!D21, FIND("±", results!D21) - 1), results!D21)</f>
        <v xml:space="preserve">20.34 </v>
      </c>
      <c r="H21" s="4" t="str">
        <f>IF(ISNUMBER(FIND("±", results!E21)), LEFT(results!E21, FIND("±", results!E21) - 1), results!E21)</f>
        <v xml:space="preserve">145.54 </v>
      </c>
      <c r="I21" s="15" t="str">
        <f>IF(ISNUMBER(FIND("±", results!F21)), LEFT(results!F21, FIND("±", results!F21) - 1), results!F21)</f>
        <v xml:space="preserve">0.00 </v>
      </c>
      <c r="J21" s="7" t="str">
        <f>IF(ISNUMBER(FIND("±", results!G21)), LEFT(results!G21, FIND("±", results!G21) - 1), results!G21)</f>
        <v xml:space="preserve">23.43 </v>
      </c>
      <c r="K21" s="15" t="str">
        <f>IF(ISNUMBER(FIND("±", results!H21)), LEFT(results!H21, FIND("±", results!H21) - 1), results!H21)</f>
        <v xml:space="preserve">171.86 </v>
      </c>
      <c r="L21" s="15" t="str">
        <f>IF(ISNUMBER(FIND("±", results!I21)), LEFT(results!I21, FIND("±", results!I21) - 1), results!I21)</f>
        <v xml:space="preserve">35.50 </v>
      </c>
      <c r="M21" s="7" t="str">
        <f>IF(ISNUMBER(FIND("±", results!J21)), LEFT(results!J21, FIND("±", results!J21) - 1), results!J21)</f>
        <v xml:space="preserve">12.49 </v>
      </c>
    </row>
    <row r="24" spans="4:38" ht="15.75" thickBot="1" x14ac:dyDescent="0.3"/>
    <row r="25" spans="4:38" ht="15.75" thickBot="1" x14ac:dyDescent="0.3">
      <c r="D25" s="217" t="s">
        <v>42</v>
      </c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5"/>
      <c r="V25" s="217" t="s">
        <v>42</v>
      </c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5"/>
    </row>
    <row r="26" spans="4:38" x14ac:dyDescent="0.25">
      <c r="D26" s="222" t="s">
        <v>1035</v>
      </c>
      <c r="E26" s="220" t="s">
        <v>46</v>
      </c>
      <c r="F26" s="221"/>
      <c r="G26" s="221"/>
      <c r="H26" s="221"/>
      <c r="I26" s="214" t="s">
        <v>34</v>
      </c>
      <c r="J26" s="216"/>
      <c r="K26" s="216"/>
      <c r="L26" s="215"/>
      <c r="M26" s="216" t="s">
        <v>32</v>
      </c>
      <c r="N26" s="216"/>
      <c r="O26" s="216"/>
      <c r="P26" s="216"/>
      <c r="Q26" s="214" t="s">
        <v>41</v>
      </c>
      <c r="R26" s="216"/>
      <c r="S26" s="216"/>
      <c r="T26" s="215"/>
      <c r="V26" s="222" t="s">
        <v>1035</v>
      </c>
      <c r="W26" s="220" t="s">
        <v>46</v>
      </c>
      <c r="X26" s="221"/>
      <c r="Y26" s="221"/>
      <c r="Z26" s="221"/>
      <c r="AA26" s="214" t="s">
        <v>34</v>
      </c>
      <c r="AB26" s="216"/>
      <c r="AC26" s="216"/>
      <c r="AD26" s="215"/>
      <c r="AE26" s="216" t="s">
        <v>32</v>
      </c>
      <c r="AF26" s="216"/>
      <c r="AG26" s="216"/>
      <c r="AH26" s="216"/>
      <c r="AI26" s="214" t="s">
        <v>41</v>
      </c>
      <c r="AJ26" s="216"/>
      <c r="AK26" s="216"/>
      <c r="AL26" s="215"/>
    </row>
    <row r="27" spans="4:38" ht="15.75" thickBot="1" x14ac:dyDescent="0.3">
      <c r="D27" s="223"/>
      <c r="E27" s="4" t="s">
        <v>47</v>
      </c>
      <c r="F27" s="15" t="s">
        <v>1048</v>
      </c>
      <c r="G27" s="15" t="s">
        <v>48</v>
      </c>
      <c r="H27" s="15" t="s">
        <v>621</v>
      </c>
      <c r="I27" s="4" t="s">
        <v>47</v>
      </c>
      <c r="J27" s="15" t="s">
        <v>1048</v>
      </c>
      <c r="K27" s="15" t="s">
        <v>48</v>
      </c>
      <c r="L27" s="7" t="s">
        <v>621</v>
      </c>
      <c r="M27" s="15" t="s">
        <v>47</v>
      </c>
      <c r="N27" s="15" t="s">
        <v>1048</v>
      </c>
      <c r="O27" s="15" t="s">
        <v>48</v>
      </c>
      <c r="P27" s="15" t="s">
        <v>621</v>
      </c>
      <c r="Q27" s="4" t="s">
        <v>47</v>
      </c>
      <c r="R27" s="15" t="s">
        <v>1048</v>
      </c>
      <c r="S27" s="15" t="s">
        <v>48</v>
      </c>
      <c r="T27" s="7" t="s">
        <v>621</v>
      </c>
      <c r="V27" s="223"/>
      <c r="W27" s="4" t="s">
        <v>47</v>
      </c>
      <c r="X27" s="15" t="s">
        <v>1048</v>
      </c>
      <c r="Y27" s="15" t="s">
        <v>48</v>
      </c>
      <c r="Z27" s="15" t="s">
        <v>621</v>
      </c>
      <c r="AA27" s="4" t="s">
        <v>47</v>
      </c>
      <c r="AB27" s="15" t="s">
        <v>1048</v>
      </c>
      <c r="AC27" s="15" t="s">
        <v>48</v>
      </c>
      <c r="AD27" s="7" t="s">
        <v>621</v>
      </c>
      <c r="AE27" s="15" t="s">
        <v>47</v>
      </c>
      <c r="AF27" s="15" t="s">
        <v>1048</v>
      </c>
      <c r="AG27" s="15" t="s">
        <v>48</v>
      </c>
      <c r="AH27" s="15" t="s">
        <v>621</v>
      </c>
      <c r="AI27" s="4" t="s">
        <v>47</v>
      </c>
      <c r="AJ27" s="15" t="s">
        <v>1048</v>
      </c>
      <c r="AK27" s="15" t="s">
        <v>48</v>
      </c>
      <c r="AL27" s="7" t="s">
        <v>621</v>
      </c>
    </row>
    <row r="28" spans="4:38" x14ac:dyDescent="0.25">
      <c r="D28" s="2" t="s">
        <v>1036</v>
      </c>
      <c r="E28" t="str">
        <f>IF(ISNUMBER(FIND("±", results!B28)), LEFT(results!B28, FIND("±", results!B28) - 1), results!B28)</f>
        <v xml:space="preserve">94.34 </v>
      </c>
      <c r="F28" t="str">
        <f>IF(ISNUMBER(FIND("±", results!C28)), LEFT(results!C28, FIND("±", results!C28) - 1), results!C28)</f>
        <v xml:space="preserve">2.08 </v>
      </c>
      <c r="G28" t="str">
        <f>IF(ISNUMBER(FIND("±", results!D28)), LEFT(results!D28, FIND("±", results!D28) - 1), results!D28)</f>
        <v xml:space="preserve">0.77 </v>
      </c>
      <c r="H28">
        <f>IF(ISNUMBER(FIND("±", results!E28)), LEFT(results!E28, FIND("±", results!E28) - 1), results!E28)</f>
        <v>1</v>
      </c>
      <c r="I28" t="str">
        <f>IF(ISNUMBER(FIND("±", results!F28)), LEFT(results!F28, FIND("±", results!F28) - 1), results!F28)</f>
        <v xml:space="preserve">136.28 </v>
      </c>
      <c r="J28" t="str">
        <f>IF(ISNUMBER(FIND("±", results!G28)), LEFT(results!G28, FIND("±", results!G28) - 1), results!G28)</f>
        <v xml:space="preserve">0.00 </v>
      </c>
      <c r="K28" t="str">
        <f>IF(ISNUMBER(FIND("±", results!H28)), LEFT(results!H28, FIND("±", results!H28) - 1), results!H28)</f>
        <v xml:space="preserve">2.20 </v>
      </c>
      <c r="L28">
        <f>IF(ISNUMBER(FIND("±", results!I28)), LEFT(results!I28, FIND("±", results!I28) - 1), results!I28)</f>
        <v>1</v>
      </c>
      <c r="M28" t="str">
        <f>IF(ISNUMBER(FIND("±", results!J28)), LEFT(results!J28, FIND("±", results!J28) - 1), results!J28)</f>
        <v xml:space="preserve">101.78 </v>
      </c>
      <c r="N28" t="str">
        <f>IF(ISNUMBER(FIND("±", results!K28)), LEFT(results!K28, FIND("±", results!K28) - 1), results!K28)</f>
        <v xml:space="preserve">0.00 </v>
      </c>
      <c r="O28" t="str">
        <f>IF(ISNUMBER(FIND("±", results!L28)), LEFT(results!L28, FIND("±", results!L28) - 1), results!L28)</f>
        <v xml:space="preserve">1.60 </v>
      </c>
      <c r="P28">
        <f>IF(ISNUMBER(FIND("±", results!M28)), LEFT(results!M28, FIND("±", results!M28) - 1), results!M28)</f>
        <v>1</v>
      </c>
      <c r="Q28" s="19" t="str">
        <f>IF(ISNUMBER(FIND("±", results!N28)), LEFT(results!N28, FIND("±", results!N28) - 1), results!N28)</f>
        <v xml:space="preserve">85.02 </v>
      </c>
      <c r="R28" t="str">
        <f>IF(ISNUMBER(FIND("±", results!O28)), LEFT(results!O28, FIND("±", results!O28) - 1), results!O28)</f>
        <v xml:space="preserve">0.00 </v>
      </c>
      <c r="S28" t="str">
        <f>IF(ISNUMBER(FIND("±", results!P28)), LEFT(results!P28, FIND("±", results!P28) - 1), results!P28)</f>
        <v xml:space="preserve">2.62 </v>
      </c>
      <c r="T28">
        <f>IF(ISNUMBER(FIND("±", results!Q28)), LEFT(results!Q28, FIND("±", results!Q28) - 1), results!Q28)</f>
        <v>1</v>
      </c>
      <c r="V28" s="2" t="s">
        <v>1036</v>
      </c>
      <c r="W28" t="str">
        <f>IF(ISNUMBER(FIND("±", results!T28)), LEFT(results!T28, FIND("±", results!T28) - 1), results!T28)</f>
        <v xml:space="preserve">88.27 </v>
      </c>
      <c r="X28" t="str">
        <f>IF(ISNUMBER(FIND("±", results!U28)), LEFT(results!U28, FIND("±", results!U28) - 1), results!U28)</f>
        <v xml:space="preserve">1.96 </v>
      </c>
      <c r="Y28" t="str">
        <f>IF(ISNUMBER(FIND("±", results!V28)), LEFT(results!V28, FIND("±", results!V28) - 1), results!V28)</f>
        <v xml:space="preserve">0.96 </v>
      </c>
      <c r="Z28">
        <f>IF(ISNUMBER(FIND("±", results!W28)), LEFT(results!W28, FIND("±", results!W28) - 1), results!W28)</f>
        <v>1</v>
      </c>
      <c r="AA28" t="str">
        <f>IF(ISNUMBER(FIND("±", results!X28)), LEFT(results!X28, FIND("±", results!X28) - 1), results!X28)</f>
        <v xml:space="preserve">136.12 </v>
      </c>
      <c r="AB28" t="str">
        <f>IF(ISNUMBER(FIND("±", results!Y28)), LEFT(results!Y28, FIND("±", results!Y28) - 1), results!Y28)</f>
        <v xml:space="preserve">0.00 </v>
      </c>
      <c r="AC28" t="str">
        <f>IF(ISNUMBER(FIND("±", results!Z28)), LEFT(results!Z28, FIND("±", results!Z28) - 1), results!Z28)</f>
        <v xml:space="preserve">3.05 </v>
      </c>
      <c r="AD28">
        <f>IF(ISNUMBER(FIND("±", results!AA28)), LEFT(results!AA28, FIND("±", results!AA28) - 1), results!AA28)</f>
        <v>1</v>
      </c>
      <c r="AE28" t="str">
        <f>IF(ISNUMBER(FIND("±", results!AB28)), LEFT(results!AB28, FIND("±", results!AB28) - 1), results!AB28)</f>
        <v xml:space="preserve">94.42 </v>
      </c>
      <c r="AF28" t="str">
        <f>IF(ISNUMBER(FIND("±", results!AC28)), LEFT(results!AC28, FIND("±", results!AC28) - 1), results!AC28)</f>
        <v xml:space="preserve">0.00 </v>
      </c>
      <c r="AG28" t="str">
        <f>IF(ISNUMBER(FIND("±", results!AD28)), LEFT(results!AD28, FIND("±", results!AD28) - 1), results!AD28)</f>
        <v xml:space="preserve">1.50 </v>
      </c>
      <c r="AH28">
        <f>IF(ISNUMBER(FIND("±", results!AE28)), LEFT(results!AE28, FIND("±", results!AE28) - 1), results!AE28)</f>
        <v>1</v>
      </c>
      <c r="AI28" s="19" t="str">
        <f>IF(ISNUMBER(FIND("±", results!AF28)), LEFT(results!AF28, FIND("±", results!AF28) - 1), results!AF28)</f>
        <v xml:space="preserve">82.42 </v>
      </c>
      <c r="AJ28" t="str">
        <f>IF(ISNUMBER(FIND("±", results!AG28)), LEFT(results!AG28, FIND("±", results!AG28) - 1), results!AG28)</f>
        <v xml:space="preserve">0.00 </v>
      </c>
      <c r="AK28" t="str">
        <f>IF(ISNUMBER(FIND("±", results!AH28)), LEFT(results!AH28, FIND("±", results!AH28) - 1), results!AH28)</f>
        <v xml:space="preserve">2.50 </v>
      </c>
      <c r="AL28">
        <f>IF(ISNUMBER(FIND("±", results!AI28)), LEFT(results!AI28, FIND("±", results!AI28) - 1), results!AI28)</f>
        <v>1</v>
      </c>
    </row>
    <row r="29" spans="4:38" x14ac:dyDescent="0.25">
      <c r="D29" s="3" t="s">
        <v>1037</v>
      </c>
      <c r="E29" t="str">
        <f>IF(ISNUMBER(FIND("±", results!B29)), LEFT(results!B29, FIND("±", results!B29) - 1), results!B29)</f>
        <v xml:space="preserve">107.81 </v>
      </c>
      <c r="F29" t="str">
        <f>IF(ISNUMBER(FIND("±", results!C29)), LEFT(results!C29, FIND("±", results!C29) - 1), results!C29)</f>
        <v xml:space="preserve">3.08 </v>
      </c>
      <c r="G29" t="str">
        <f>IF(ISNUMBER(FIND("±", results!D29)), LEFT(results!D29, FIND("±", results!D29) - 1), results!D29)</f>
        <v xml:space="preserve">1.41 </v>
      </c>
      <c r="H29">
        <f>IF(ISNUMBER(FIND("±", results!E29)), LEFT(results!E29, FIND("±", results!E29) - 1), results!E29)</f>
        <v>1</v>
      </c>
      <c r="I29" t="str">
        <f>IF(ISNUMBER(FIND("±", results!F29)), LEFT(results!F29, FIND("±", results!F29) - 1), results!F29)</f>
        <v xml:space="preserve">144.46 </v>
      </c>
      <c r="J29" t="str">
        <f>IF(ISNUMBER(FIND("±", results!G29)), LEFT(results!G29, FIND("±", results!G29) - 1), results!G29)</f>
        <v xml:space="preserve">0.00 </v>
      </c>
      <c r="K29" t="str">
        <f>IF(ISNUMBER(FIND("±", results!H29)), LEFT(results!H29, FIND("±", results!H29) - 1), results!H29)</f>
        <v xml:space="preserve">3.84 </v>
      </c>
      <c r="L29">
        <f>IF(ISNUMBER(FIND("±", results!I29)), LEFT(results!I29, FIND("±", results!I29) - 1), results!I29)</f>
        <v>1</v>
      </c>
      <c r="M29" t="str">
        <f>IF(ISNUMBER(FIND("±", results!J29)), LEFT(results!J29, FIND("±", results!J29) - 1), results!J29)</f>
        <v xml:space="preserve">113.62 </v>
      </c>
      <c r="N29" t="str">
        <f>IF(ISNUMBER(FIND("±", results!K29)), LEFT(results!K29, FIND("±", results!K29) - 1), results!K29)</f>
        <v xml:space="preserve">0.00 </v>
      </c>
      <c r="O29" t="str">
        <f>IF(ISNUMBER(FIND("±", results!L29)), LEFT(results!L29, FIND("±", results!L29) - 1), results!L29)</f>
        <v xml:space="preserve">2.92 </v>
      </c>
      <c r="P29">
        <f>IF(ISNUMBER(FIND("±", results!M29)), LEFT(results!M29, FIND("±", results!M29) - 1), results!M29)</f>
        <v>1</v>
      </c>
      <c r="Q29" s="19" t="str">
        <f>IF(ISNUMBER(FIND("±", results!N29)), LEFT(results!N29, FIND("±", results!N29) - 1), results!N29)</f>
        <v xml:space="preserve">103.58 </v>
      </c>
      <c r="R29" t="str">
        <f>IF(ISNUMBER(FIND("±", results!O29)), LEFT(results!O29, FIND("±", results!O29) - 1), results!O29)</f>
        <v xml:space="preserve">0.00 </v>
      </c>
      <c r="S29" t="str">
        <f>IF(ISNUMBER(FIND("±", results!P29)), LEFT(results!P29, FIND("±", results!P29) - 1), results!P29)</f>
        <v xml:space="preserve">4.87 </v>
      </c>
      <c r="T29">
        <f>IF(ISNUMBER(FIND("±", results!Q29)), LEFT(results!Q29, FIND("±", results!Q29) - 1), results!Q29)</f>
        <v>0.96</v>
      </c>
      <c r="V29" s="3" t="s">
        <v>1037</v>
      </c>
      <c r="W29" t="str">
        <f>IF(ISNUMBER(FIND("±", results!T29)), LEFT(results!T29, FIND("±", results!T29) - 1), results!T29)</f>
        <v xml:space="preserve">107.91 </v>
      </c>
      <c r="X29" t="str">
        <f>IF(ISNUMBER(FIND("±", results!U29)), LEFT(results!U29, FIND("±", results!U29) - 1), results!U29)</f>
        <v xml:space="preserve">3.27 </v>
      </c>
      <c r="Y29" t="str">
        <f>IF(ISNUMBER(FIND("±", results!V29)), LEFT(results!V29, FIND("±", results!V29) - 1), results!V29)</f>
        <v xml:space="preserve">2.12 </v>
      </c>
      <c r="Z29">
        <f>IF(ISNUMBER(FIND("±", results!W29)), LEFT(results!W29, FIND("±", results!W29) - 1), results!W29)</f>
        <v>1</v>
      </c>
      <c r="AA29" t="str">
        <f>IF(ISNUMBER(FIND("±", results!X29)), LEFT(results!X29, FIND("±", results!X29) - 1), results!X29)</f>
        <v xml:space="preserve">149.16 </v>
      </c>
      <c r="AB29" t="str">
        <f>IF(ISNUMBER(FIND("±", results!Y29)), LEFT(results!Y29, FIND("±", results!Y29) - 1), results!Y29)</f>
        <v xml:space="preserve">0.00 </v>
      </c>
      <c r="AC29" t="str">
        <f>IF(ISNUMBER(FIND("±", results!Z29)), LEFT(results!Z29, FIND("±", results!Z29) - 1), results!Z29)</f>
        <v xml:space="preserve">5.61 </v>
      </c>
      <c r="AD29">
        <f>IF(ISNUMBER(FIND("±", results!AA29)), LEFT(results!AA29, FIND("±", results!AA29) - 1), results!AA29)</f>
        <v>1</v>
      </c>
      <c r="AE29" t="str">
        <f>IF(ISNUMBER(FIND("±", results!AB29)), LEFT(results!AB29, FIND("±", results!AB29) - 1), results!AB29)</f>
        <v xml:space="preserve">109.24 </v>
      </c>
      <c r="AF29" t="str">
        <f>IF(ISNUMBER(FIND("±", results!AC29)), LEFT(results!AC29, FIND("±", results!AC29) - 1), results!AC29)</f>
        <v xml:space="preserve">0.00 </v>
      </c>
      <c r="AG29" t="str">
        <f>IF(ISNUMBER(FIND("±", results!AD29)), LEFT(results!AD29, FIND("±", results!AD29) - 1), results!AD29)</f>
        <v xml:space="preserve">3.00 </v>
      </c>
      <c r="AH29">
        <f>IF(ISNUMBER(FIND("±", results!AE29)), LEFT(results!AE29, FIND("±", results!AE29) - 1), results!AE29)</f>
        <v>1</v>
      </c>
      <c r="AI29" s="19" t="str">
        <f>IF(ISNUMBER(FIND("±", results!AF29)), LEFT(results!AF29, FIND("±", results!AF29) - 1), results!AF29)</f>
        <v xml:space="preserve">98.87 </v>
      </c>
      <c r="AJ29" t="str">
        <f>IF(ISNUMBER(FIND("±", results!AG29)), LEFT(results!AG29, FIND("±", results!AG29) - 1), results!AG29)</f>
        <v xml:space="preserve">0.00 </v>
      </c>
      <c r="AK29" t="str">
        <f>IF(ISNUMBER(FIND("±", results!AH29)), LEFT(results!AH29, FIND("±", results!AH29) - 1), results!AH29)</f>
        <v xml:space="preserve">5.32 </v>
      </c>
      <c r="AL29">
        <f>IF(ISNUMBER(FIND("±", results!AI29)), LEFT(results!AI29, FIND("±", results!AI29) - 1), results!AI29)</f>
        <v>1</v>
      </c>
    </row>
    <row r="30" spans="4:38" ht="15.75" thickBot="1" x14ac:dyDescent="0.3">
      <c r="D30" s="4" t="s">
        <v>1038</v>
      </c>
      <c r="E30" t="str">
        <f>IF(ISNUMBER(FIND("±", results!B30)), LEFT(results!B30, FIND("±", results!B30) - 1), results!B30)</f>
        <v xml:space="preserve">174.45 </v>
      </c>
      <c r="F30" t="str">
        <f>IF(ISNUMBER(FIND("±", results!C30)), LEFT(results!C30, FIND("±", results!C30) - 1), results!C30)</f>
        <v xml:space="preserve">3.43 </v>
      </c>
      <c r="G30" t="str">
        <f>IF(ISNUMBER(FIND("±", results!D30)), LEFT(results!D30, FIND("±", results!D30) - 1), results!D30)</f>
        <v xml:space="preserve">4.15 </v>
      </c>
      <c r="H30">
        <f>IF(ISNUMBER(FIND("±", results!E30)), LEFT(results!E30, FIND("±", results!E30) - 1), results!E30)</f>
        <v>1</v>
      </c>
      <c r="I30" t="str">
        <f>IF(ISNUMBER(FIND("±", results!F30)), LEFT(results!F30, FIND("±", results!F30) - 1), results!F30)</f>
        <v xml:space="preserve">236.70 </v>
      </c>
      <c r="J30" t="str">
        <f>IF(ISNUMBER(FIND("±", results!G30)), LEFT(results!G30, FIND("±", results!G30) - 1), results!G30)</f>
        <v xml:space="preserve">0.00 </v>
      </c>
      <c r="K30" t="str">
        <f>IF(ISNUMBER(FIND("±", results!H30)), LEFT(results!H30, FIND("±", results!H30) - 1), results!H30)</f>
        <v xml:space="preserve">10.74 </v>
      </c>
      <c r="L30">
        <f>IF(ISNUMBER(FIND("±", results!I30)), LEFT(results!I30, FIND("±", results!I30) - 1), results!I30)</f>
        <v>1</v>
      </c>
      <c r="M30" t="str">
        <f>IF(ISNUMBER(FIND("±", results!J30)), LEFT(results!J30, FIND("±", results!J30) - 1), results!J30)</f>
        <v xml:space="preserve">188.04 </v>
      </c>
      <c r="N30" t="str">
        <f>IF(ISNUMBER(FIND("±", results!K30)), LEFT(results!K30, FIND("±", results!K30) - 1), results!K30)</f>
        <v xml:space="preserve">0.00 </v>
      </c>
      <c r="O30" t="str">
        <f>IF(ISNUMBER(FIND("±", results!L30)), LEFT(results!L30, FIND("±", results!L30) - 1), results!L30)</f>
        <v xml:space="preserve">7.95 </v>
      </c>
      <c r="P30">
        <f>IF(ISNUMBER(FIND("±", results!M30)), LEFT(results!M30, FIND("±", results!M30) - 1), results!M30)</f>
        <v>1</v>
      </c>
      <c r="Q30" s="19" t="str">
        <f>IF(ISNUMBER(FIND("±", results!N30)), LEFT(results!N30, FIND("±", results!N30) - 1), results!N30)</f>
        <v xml:space="preserve">146.70 </v>
      </c>
      <c r="R30" t="str">
        <f>IF(ISNUMBER(FIND("±", results!O30)), LEFT(results!O30, FIND("±", results!O30) - 1), results!O30)</f>
        <v xml:space="preserve">0.00 </v>
      </c>
      <c r="S30" t="str">
        <f>IF(ISNUMBER(FIND("±", results!P30)), LEFT(results!P30, FIND("±", results!P30) - 1), results!P30)</f>
        <v xml:space="preserve">12.58 </v>
      </c>
      <c r="T30">
        <f>IF(ISNUMBER(FIND("±", results!Q30)), LEFT(results!Q30, FIND("±", results!Q30) - 1), results!Q30)</f>
        <v>0.94</v>
      </c>
      <c r="V30" s="4" t="s">
        <v>1038</v>
      </c>
      <c r="W30" t="str">
        <f>IF(ISNUMBER(FIND("±", results!T30)), LEFT(results!T30, FIND("±", results!T30) - 1), results!T30)</f>
        <v xml:space="preserve">162.73 </v>
      </c>
      <c r="X30" t="str">
        <f>IF(ISNUMBER(FIND("±", results!U30)), LEFT(results!U30, FIND("±", results!U30) - 1), results!U30)</f>
        <v xml:space="preserve">3.22 </v>
      </c>
      <c r="Y30" t="str">
        <f>IF(ISNUMBER(FIND("±", results!V30)), LEFT(results!V30, FIND("±", results!V30) - 1), results!V30)</f>
        <v xml:space="preserve">4.48 </v>
      </c>
      <c r="Z30">
        <f>IF(ISNUMBER(FIND("±", results!W30)), LEFT(results!W30, FIND("±", results!W30) - 1), results!W30)</f>
        <v>1</v>
      </c>
      <c r="AA30" t="str">
        <f>IF(ISNUMBER(FIND("±", results!X30)), LEFT(results!X30, FIND("±", results!X30) - 1), results!X30)</f>
        <v xml:space="preserve">236.94 </v>
      </c>
      <c r="AB30" t="str">
        <f>IF(ISNUMBER(FIND("±", results!Y30)), LEFT(results!Y30, FIND("±", results!Y30) - 1), results!Y30)</f>
        <v xml:space="preserve">0.00 </v>
      </c>
      <c r="AC30" t="str">
        <f>IF(ISNUMBER(FIND("±", results!Z30)), LEFT(results!Z30, FIND("±", results!Z30) - 1), results!Z30)</f>
        <v xml:space="preserve">12.32 </v>
      </c>
      <c r="AD30">
        <f>IF(ISNUMBER(FIND("±", results!AA30)), LEFT(results!AA30, FIND("±", results!AA30) - 1), results!AA30)</f>
        <v>1</v>
      </c>
      <c r="AE30" t="str">
        <f>IF(ISNUMBER(FIND("±", results!AB30)), LEFT(results!AB30, FIND("±", results!AB30) - 1), results!AB30)</f>
        <v xml:space="preserve">175.88 </v>
      </c>
      <c r="AF30" t="str">
        <f>IF(ISNUMBER(FIND("±", results!AC30)), LEFT(results!AC30, FIND("±", results!AC30) - 1), results!AC30)</f>
        <v xml:space="preserve">0.00 </v>
      </c>
      <c r="AG30" t="str">
        <f>IF(ISNUMBER(FIND("±", results!AD30)), LEFT(results!AD30, FIND("±", results!AD30) - 1), results!AD30)</f>
        <v xml:space="preserve">7.21 </v>
      </c>
      <c r="AH30">
        <f>IF(ISNUMBER(FIND("±", results!AE30)), LEFT(results!AE30, FIND("±", results!AE30) - 1), results!AE30)</f>
        <v>1</v>
      </c>
      <c r="AI30" s="19" t="str">
        <f>IF(ISNUMBER(FIND("±", results!AF30)), LEFT(results!AF30, FIND("±", results!AF30) - 1), results!AF30)</f>
        <v xml:space="preserve">138.37 </v>
      </c>
      <c r="AJ30" t="str">
        <f>IF(ISNUMBER(FIND("±", results!AG30)), LEFT(results!AG30, FIND("±", results!AG30) - 1), results!AG30)</f>
        <v xml:space="preserve">0.00 </v>
      </c>
      <c r="AK30" t="str">
        <f>IF(ISNUMBER(FIND("±", results!AH30)), LEFT(results!AH30, FIND("±", results!AH30) - 1), results!AH30)</f>
        <v xml:space="preserve">11.51 </v>
      </c>
      <c r="AL30">
        <f>IF(ISNUMBER(FIND("±", results!AI30)), LEFT(results!AI30, FIND("±", results!AI30) - 1), results!AI30)</f>
        <v>1</v>
      </c>
    </row>
    <row r="31" spans="4:38" x14ac:dyDescent="0.25">
      <c r="D31" s="3" t="s">
        <v>1039</v>
      </c>
      <c r="E31" t="str">
        <f>IF(ISNUMBER(FIND("±", results!B31)), LEFT(results!B31, FIND("±", results!B31) - 1), results!B31)</f>
        <v xml:space="preserve">727.48 </v>
      </c>
      <c r="F31" t="str">
        <f>IF(ISNUMBER(FIND("±", results!C31)), LEFT(results!C31, FIND("±", results!C31) - 1), results!C31)</f>
        <v xml:space="preserve">3.52 </v>
      </c>
      <c r="G31" t="str">
        <f>IF(ISNUMBER(FIND("±", results!D31)), LEFT(results!D31, FIND("±", results!D31) - 1), results!D31)</f>
        <v xml:space="preserve">68.54 </v>
      </c>
      <c r="H31">
        <f>IF(ISNUMBER(FIND("±", results!E31)), LEFT(results!E31, FIND("±", results!E31) - 1), results!E31)</f>
        <v>1</v>
      </c>
      <c r="I31" t="str">
        <f>IF(ISNUMBER(FIND("±", results!F31)), LEFT(results!F31, FIND("±", results!F31) - 1), results!F31)</f>
        <v xml:space="preserve">754.84 </v>
      </c>
      <c r="J31" t="str">
        <f>IF(ISNUMBER(FIND("±", results!G31)), LEFT(results!G31, FIND("±", results!G31) - 1), results!G31)</f>
        <v xml:space="preserve">0.00 </v>
      </c>
      <c r="K31" t="str">
        <f>IF(ISNUMBER(FIND("±", results!H31)), LEFT(results!H31, FIND("±", results!H31) - 1), results!H31)</f>
        <v xml:space="preserve">70.95 </v>
      </c>
      <c r="L31">
        <f>IF(ISNUMBER(FIND("±", results!I31)), LEFT(results!I31, FIND("±", results!I31) - 1), results!I31)</f>
        <v>1</v>
      </c>
      <c r="M31" t="str">
        <f>IF(ISNUMBER(FIND("±", results!J31)), LEFT(results!J31, FIND("±", results!J31) - 1), results!J31)</f>
        <v xml:space="preserve">728.71 </v>
      </c>
      <c r="N31" t="str">
        <f>IF(ISNUMBER(FIND("±", results!K31)), LEFT(results!K31, FIND("±", results!K31) - 1), results!K31)</f>
        <v xml:space="preserve">0.00 </v>
      </c>
      <c r="O31" t="str">
        <f>IF(ISNUMBER(FIND("±", results!L31)), LEFT(results!L31, FIND("±", results!L31) - 1), results!L31)</f>
        <v xml:space="preserve">69.22 </v>
      </c>
      <c r="P31">
        <f>IF(ISNUMBER(FIND("±", results!M31)), LEFT(results!M31, FIND("±", results!M31) - 1), results!M31)</f>
        <v>1</v>
      </c>
      <c r="Q31" s="19" t="str">
        <f>IF(ISNUMBER(FIND("±", results!N31)), LEFT(results!N31, FIND("±", results!N31) - 1), results!N31)</f>
        <v xml:space="preserve">723.35 </v>
      </c>
      <c r="R31" t="str">
        <f>IF(ISNUMBER(FIND("±", results!O31)), LEFT(results!O31, FIND("±", results!O31) - 1), results!O31)</f>
        <v xml:space="preserve">0.00 </v>
      </c>
      <c r="S31" t="str">
        <f>IF(ISNUMBER(FIND("±", results!P31)), LEFT(results!P31, FIND("±", results!P31) - 1), results!P31)</f>
        <v xml:space="preserve">75.43 </v>
      </c>
      <c r="T31">
        <f>IF(ISNUMBER(FIND("±", results!Q31)), LEFT(results!Q31, FIND("±", results!Q31) - 1), results!Q31)</f>
        <v>0.62</v>
      </c>
      <c r="V31" s="3" t="s">
        <v>1039</v>
      </c>
      <c r="W31" t="str">
        <f>IF(ISNUMBER(FIND("±", results!T31)), LEFT(results!T31, FIND("±", results!T31) - 1), results!T31)</f>
        <v xml:space="preserve">701.68 </v>
      </c>
      <c r="X31" t="str">
        <f>IF(ISNUMBER(FIND("±", results!U31)), LEFT(results!U31, FIND("±", results!U31) - 1), results!U31)</f>
        <v xml:space="preserve">3.96 </v>
      </c>
      <c r="Y31" t="str">
        <f>IF(ISNUMBER(FIND("±", results!V31)), LEFT(results!V31, FIND("±", results!V31) - 1), results!V31)</f>
        <v xml:space="preserve">74.69 </v>
      </c>
      <c r="Z31" t="str">
        <f>IF(ISNUMBER(FIND("±", results!W31)), LEFT(results!W31, FIND("±", results!W31) - 1), results!W31)</f>
        <v>1.00</v>
      </c>
      <c r="AA31" t="str">
        <f>IF(ISNUMBER(FIND("±", results!X31)), LEFT(results!X31, FIND("±", results!X31) - 1), results!X31)</f>
        <v xml:space="preserve">879.92 </v>
      </c>
      <c r="AB31" t="str">
        <f>IF(ISNUMBER(FIND("±", results!Y31)), LEFT(results!Y31, FIND("±", results!Y31) - 1), results!Y31)</f>
        <v xml:space="preserve">0.00 </v>
      </c>
      <c r="AC31" t="str">
        <f>IF(ISNUMBER(FIND("±", results!Z31)), LEFT(results!Z31, FIND("±", results!Z31) - 1), results!Z31)</f>
        <v xml:space="preserve">100.61 </v>
      </c>
      <c r="AD31" t="str">
        <f>IF(ISNUMBER(FIND("±", results!AA31)), LEFT(results!AA31, FIND("±", results!AA31) - 1), results!AA31)</f>
        <v>1.00</v>
      </c>
      <c r="AE31" t="str">
        <f>IF(ISNUMBER(FIND("±", results!AB31)), LEFT(results!AB31, FIND("±", results!AB31) - 1), results!AB31)</f>
        <v xml:space="preserve">770.42 </v>
      </c>
      <c r="AF31" t="str">
        <f>IF(ISNUMBER(FIND("±", results!AC31)), LEFT(results!AC31, FIND("±", results!AC31) - 1), results!AC31)</f>
        <v xml:space="preserve">0.00 </v>
      </c>
      <c r="AG31" t="str">
        <f>IF(ISNUMBER(FIND("±", results!AD31)), LEFT(results!AD31, FIND("±", results!AD31) - 1), results!AD31)</f>
        <v xml:space="preserve">88.29 </v>
      </c>
      <c r="AH31" t="str">
        <f>IF(ISNUMBER(FIND("±", results!AE31)), LEFT(results!AE31, FIND("±", results!AE31) - 1), results!AE31)</f>
        <v>1.00</v>
      </c>
      <c r="AI31" s="19" t="str">
        <f>IF(ISNUMBER(FIND("±", results!AF31)), LEFT(results!AF31, FIND("±", results!AF31) - 1), results!AF31)</f>
        <v xml:space="preserve">685.90 </v>
      </c>
      <c r="AJ31" t="str">
        <f>IF(ISNUMBER(FIND("±", results!AG31)), LEFT(results!AG31, FIND("±", results!AG31) - 1), results!AG31)</f>
        <v xml:space="preserve">0.00 </v>
      </c>
      <c r="AK31" t="str">
        <f>IF(ISNUMBER(FIND("±", results!AH31)), LEFT(results!AH31, FIND("±", results!AH31) - 1), results!AH31)</f>
        <v xml:space="preserve">75.65 </v>
      </c>
      <c r="AL31">
        <f>IF(ISNUMBER(FIND("±", results!AI31)), LEFT(results!AI31, FIND("±", results!AI31) - 1), results!AI31)</f>
        <v>1</v>
      </c>
    </row>
    <row r="32" spans="4:38" x14ac:dyDescent="0.25">
      <c r="D32" s="3" t="s">
        <v>1040</v>
      </c>
      <c r="E32" s="19" t="str">
        <f>IF(ISNUMBER(FIND("±", results!B32)), LEFT(results!B32, FIND("±", results!B32) - 1), results!B32)</f>
        <v xml:space="preserve">386.43 </v>
      </c>
      <c r="F32" t="str">
        <f>IF(ISNUMBER(FIND("±", results!C32)), LEFT(results!C32, FIND("±", results!C32) - 1), results!C32)</f>
        <v xml:space="preserve">1.14 </v>
      </c>
      <c r="G32" t="str">
        <f>IF(ISNUMBER(FIND("±", results!D32)), LEFT(results!D32, FIND("±", results!D32) - 1), results!D32)</f>
        <v xml:space="preserve">150.52 </v>
      </c>
      <c r="H32">
        <f>IF(ISNUMBER(FIND("±", results!E32)), LEFT(results!E32, FIND("±", results!E32) - 1), results!E32)</f>
        <v>1</v>
      </c>
      <c r="I32" t="str">
        <f>IF(ISNUMBER(FIND("±", results!F32)), LEFT(results!F32, FIND("±", results!F32) - 1), results!F32)</f>
        <v xml:space="preserve">574.22 </v>
      </c>
      <c r="J32" t="str">
        <f>IF(ISNUMBER(FIND("±", results!G32)), LEFT(results!G32, FIND("±", results!G32) - 1), results!G32)</f>
        <v xml:space="preserve">0.00 </v>
      </c>
      <c r="K32" t="str">
        <f>IF(ISNUMBER(FIND("±", results!H32)), LEFT(results!H32, FIND("±", results!H32) - 1), results!H32)</f>
        <v xml:space="preserve">238.08 </v>
      </c>
      <c r="L32">
        <f>IF(ISNUMBER(FIND("±", results!I32)), LEFT(results!I32, FIND("±", results!I32) - 1), results!I32)</f>
        <v>1</v>
      </c>
      <c r="M32" t="str">
        <f>IF(ISNUMBER(FIND("±", results!J32)), LEFT(results!J32, FIND("±", results!J32) - 1), results!J32)</f>
        <v xml:space="preserve">398.49 </v>
      </c>
      <c r="N32" t="str">
        <f>IF(ISNUMBER(FIND("±", results!K32)), LEFT(results!K32, FIND("±", results!K32) - 1), results!K32)</f>
        <v xml:space="preserve">0.00 </v>
      </c>
      <c r="O32" t="str">
        <f>IF(ISNUMBER(FIND("±", results!L32)), LEFT(results!L32, FIND("±", results!L32) - 1), results!L32)</f>
        <v xml:space="preserve">169.22 </v>
      </c>
      <c r="P32">
        <f>IF(ISNUMBER(FIND("±", results!M32)), LEFT(results!M32, FIND("±", results!M32) - 1), results!M32)</f>
        <v>1</v>
      </c>
      <c r="Q32" t="str">
        <f>IF(ISNUMBER(FIND("±", results!N32)), LEFT(results!N32, FIND("±", results!N32) - 1), results!N32)</f>
        <v xml:space="preserve">396.95 </v>
      </c>
      <c r="R32" t="str">
        <f>IF(ISNUMBER(FIND("±", results!O32)), LEFT(results!O32, FIND("±", results!O32) - 1), results!O32)</f>
        <v xml:space="preserve">0.00 </v>
      </c>
      <c r="S32" t="str">
        <f>IF(ISNUMBER(FIND("±", results!P32)), LEFT(results!P32, FIND("±", results!P32) - 1), results!P32)</f>
        <v xml:space="preserve">161.18 </v>
      </c>
      <c r="T32">
        <f>IF(ISNUMBER(FIND("±", results!Q32)), LEFT(results!Q32, FIND("±", results!Q32) - 1), results!Q32)</f>
        <v>0.74</v>
      </c>
      <c r="V32" s="3" t="s">
        <v>1040</v>
      </c>
      <c r="W32" t="str">
        <f>IF(ISNUMBER(FIND("±", results!T32)), LEFT(results!T32, FIND("±", results!T32) - 1), results!T32)</f>
        <v xml:space="preserve">551.14 </v>
      </c>
      <c r="X32" t="str">
        <f>IF(ISNUMBER(FIND("±", results!U32)), LEFT(results!U32, FIND("±", results!U32) - 1), results!U32)</f>
        <v xml:space="preserve">1.38 </v>
      </c>
      <c r="Y32" t="str">
        <f>IF(ISNUMBER(FIND("±", results!V32)), LEFT(results!V32, FIND("±", results!V32) - 1), results!V32)</f>
        <v xml:space="preserve">136.72 </v>
      </c>
      <c r="Z32" t="str">
        <f>IF(ISNUMBER(FIND("±", results!W32)), LEFT(results!W32, FIND("±", results!W32) - 1), results!W32)</f>
        <v>1.00</v>
      </c>
      <c r="AA32" t="str">
        <f>IF(ISNUMBER(FIND("±", results!X32)), LEFT(results!X32, FIND("±", results!X32) - 1), results!X32)</f>
        <v xml:space="preserve">520.19 </v>
      </c>
      <c r="AB32" t="str">
        <f>IF(ISNUMBER(FIND("±", results!Y32)), LEFT(results!Y32, FIND("±", results!Y32) - 1), results!Y32)</f>
        <v xml:space="preserve">0.00 </v>
      </c>
      <c r="AC32" t="str">
        <f>IF(ISNUMBER(FIND("±", results!Z32)), LEFT(results!Z32, FIND("±", results!Z32) - 1), results!Z32)</f>
        <v xml:space="preserve">138.50 </v>
      </c>
      <c r="AD32" t="str">
        <f>IF(ISNUMBER(FIND("±", results!AA32)), LEFT(results!AA32, FIND("±", results!AA32) - 1), results!AA32)</f>
        <v>1.00</v>
      </c>
      <c r="AE32" t="str">
        <f>IF(ISNUMBER(FIND("±", results!AB32)), LEFT(results!AB32, FIND("±", results!AB32) - 1), results!AB32)</f>
        <v xml:space="preserve">462.81 </v>
      </c>
      <c r="AF32" t="str">
        <f>IF(ISNUMBER(FIND("±", results!AC32)), LEFT(results!AC32, FIND("±", results!AC32) - 1), results!AC32)</f>
        <v xml:space="preserve">0.00 </v>
      </c>
      <c r="AG32" t="str">
        <f>IF(ISNUMBER(FIND("±", results!AD32)), LEFT(results!AD32, FIND("±", results!AD32) - 1), results!AD32)</f>
        <v xml:space="preserve">133.48 </v>
      </c>
      <c r="AH32" t="str">
        <f>IF(ISNUMBER(FIND("±", results!AE32)), LEFT(results!AE32, FIND("±", results!AE32) - 1), results!AE32)</f>
        <v>1.00</v>
      </c>
      <c r="AI32" s="19" t="str">
        <f>IF(ISNUMBER(FIND("±", results!AF32)), LEFT(results!AF32, FIND("±", results!AF32) - 1), results!AF32)</f>
        <v xml:space="preserve">463.65 </v>
      </c>
      <c r="AJ32" t="str">
        <f>IF(ISNUMBER(FIND("±", results!AG32)), LEFT(results!AG32, FIND("±", results!AG32) - 1), results!AG32)</f>
        <v xml:space="preserve">0.00 </v>
      </c>
      <c r="AK32" t="str">
        <f>IF(ISNUMBER(FIND("±", results!AH32)), LEFT(results!AH32, FIND("±", results!AH32) - 1), results!AH32)</f>
        <v xml:space="preserve">137.25 </v>
      </c>
      <c r="AL32" t="str">
        <f>IF(ISNUMBER(FIND("±", results!AI32)), LEFT(results!AI32, FIND("±", results!AI32) - 1), results!AI32)</f>
        <v>1.00</v>
      </c>
    </row>
    <row r="33" spans="4:38" ht="15.75" thickBot="1" x14ac:dyDescent="0.3">
      <c r="D33" s="4" t="s">
        <v>1041</v>
      </c>
      <c r="E33" t="str">
        <f>IF(ISNUMBER(FIND("±", results!B33)), LEFT(results!B33, FIND("±", results!B33) - 1), results!B33)</f>
        <v xml:space="preserve">937.09 </v>
      </c>
      <c r="F33" t="str">
        <f>IF(ISNUMBER(FIND("±", results!C33)), LEFT(results!C33, FIND("±", results!C33) - 1), results!C33)</f>
        <v xml:space="preserve">2.38 </v>
      </c>
      <c r="G33" t="str">
        <f>IF(ISNUMBER(FIND("±", results!D33)), LEFT(results!D33, FIND("±", results!D33) - 1), results!D33)</f>
        <v xml:space="preserve">227.57 </v>
      </c>
      <c r="H33">
        <f>IF(ISNUMBER(FIND("±", results!E33)), LEFT(results!E33, FIND("±", results!E33) - 1), results!E33)</f>
        <v>1</v>
      </c>
      <c r="I33" t="str">
        <f>IF(ISNUMBER(FIND("±", results!F33)), LEFT(results!F33, FIND("±", results!F33) - 1), results!F33)</f>
        <v xml:space="preserve">909.34 </v>
      </c>
      <c r="J33" t="str">
        <f>IF(ISNUMBER(FIND("±", results!G33)), LEFT(results!G33, FIND("±", results!G33) - 1), results!G33)</f>
        <v xml:space="preserve">0.00 </v>
      </c>
      <c r="K33" t="str">
        <f>IF(ISNUMBER(FIND("±", results!H33)), LEFT(results!H33, FIND("±", results!H33) - 1), results!H33)</f>
        <v xml:space="preserve">231.31 </v>
      </c>
      <c r="L33">
        <f>IF(ISNUMBER(FIND("±", results!I33)), LEFT(results!I33, FIND("±", results!I33) - 1), results!I33)</f>
        <v>1</v>
      </c>
      <c r="M33" t="str">
        <f>IF(ISNUMBER(FIND("±", results!J33)), LEFT(results!J33, FIND("±", results!J33) - 1), results!J33)</f>
        <v xml:space="preserve">919.50 </v>
      </c>
      <c r="N33" t="str">
        <f>IF(ISNUMBER(FIND("±", results!K33)), LEFT(results!K33, FIND("±", results!K33) - 1), results!K33)</f>
        <v xml:space="preserve">0.00 </v>
      </c>
      <c r="O33" t="str">
        <f>IF(ISNUMBER(FIND("±", results!L33)), LEFT(results!L33, FIND("±", results!L33) - 1), results!L33)</f>
        <v xml:space="preserve">213.79 </v>
      </c>
      <c r="P33">
        <f>IF(ISNUMBER(FIND("±", results!M33)), LEFT(results!M33, FIND("±", results!M33) - 1), results!M33)</f>
        <v>1</v>
      </c>
      <c r="Q33" s="19" t="str">
        <f>IF(ISNUMBER(FIND("±", results!N33)), LEFT(results!N33, FIND("±", results!N33) - 1), results!N33)</f>
        <v xml:space="preserve">830.06 </v>
      </c>
      <c r="R33" t="str">
        <f>IF(ISNUMBER(FIND("±", results!O33)), LEFT(results!O33, FIND("±", results!O33) - 1), results!O33)</f>
        <v xml:space="preserve">0.00 </v>
      </c>
      <c r="S33" t="str">
        <f>IF(ISNUMBER(FIND("±", results!P33)), LEFT(results!P33, FIND("±", results!P33) - 1), results!P33)</f>
        <v xml:space="preserve">192.95 </v>
      </c>
      <c r="T33">
        <f>IF(ISNUMBER(FIND("±", results!Q33)), LEFT(results!Q33, FIND("±", results!Q33) - 1), results!Q33)</f>
        <v>0.64</v>
      </c>
      <c r="V33" s="4" t="s">
        <v>1041</v>
      </c>
    </row>
    <row r="34" spans="4:38" x14ac:dyDescent="0.25">
      <c r="D34" s="3" t="s">
        <v>1042</v>
      </c>
      <c r="E34" t="str">
        <f>IF(ISNUMBER(FIND("±", results!B34)), LEFT(results!B34, FIND("±", results!B34) - 1), results!B34)</f>
        <v xml:space="preserve">138.46 </v>
      </c>
      <c r="F34" t="str">
        <f>IF(ISNUMBER(FIND("±", results!C34)), LEFT(results!C34, FIND("±", results!C34) - 1), results!C34)</f>
        <v xml:space="preserve">78.58 </v>
      </c>
      <c r="G34" t="str">
        <f>IF(ISNUMBER(FIND("±", results!D34)), LEFT(results!D34, FIND("±", results!D34) - 1), results!D34)</f>
        <v xml:space="preserve">11.73 </v>
      </c>
      <c r="H34">
        <f>IF(ISNUMBER(FIND("±", results!E34)), LEFT(results!E34, FIND("±", results!E34) - 1), results!E34)</f>
        <v>1</v>
      </c>
      <c r="I34" t="str">
        <f>IF(ISNUMBER(FIND("±", results!F34)), LEFT(results!F34, FIND("±", results!F34) - 1), results!F34)</f>
        <v xml:space="preserve">184.30 </v>
      </c>
      <c r="J34" t="str">
        <f>IF(ISNUMBER(FIND("±", results!G34)), LEFT(results!G34, FIND("±", results!G34) - 1), results!G34)</f>
        <v xml:space="preserve">0.00 </v>
      </c>
      <c r="K34" t="str">
        <f>IF(ISNUMBER(FIND("±", results!H34)), LEFT(results!H34, FIND("±", results!H34) - 1), results!H34)</f>
        <v xml:space="preserve">24.75 </v>
      </c>
      <c r="L34">
        <f>IF(ISNUMBER(FIND("±", results!I34)), LEFT(results!I34, FIND("±", results!I34) - 1), results!I34)</f>
        <v>1</v>
      </c>
      <c r="M34" t="str">
        <f>IF(ISNUMBER(FIND("±", results!J34)), LEFT(results!J34, FIND("±", results!J34) - 1), results!J34)</f>
        <v xml:space="preserve">111.36 </v>
      </c>
      <c r="N34" t="str">
        <f>IF(ISNUMBER(FIND("±", results!K34)), LEFT(results!K34, FIND("±", results!K34) - 1), results!K34)</f>
        <v xml:space="preserve">0.00 </v>
      </c>
      <c r="O34" t="str">
        <f>IF(ISNUMBER(FIND("±", results!L34)), LEFT(results!L34, FIND("±", results!L34) - 1), results!L34)</f>
        <v xml:space="preserve">13.58 </v>
      </c>
      <c r="P34">
        <f>IF(ISNUMBER(FIND("±", results!M34)), LEFT(results!M34, FIND("±", results!M34) - 1), results!M34)</f>
        <v>1</v>
      </c>
      <c r="Q34" s="19" t="str">
        <f>IF(ISNUMBER(FIND("±", results!N34)), LEFT(results!N34, FIND("±", results!N34) - 1), results!N34)</f>
        <v xml:space="preserve">73.88 </v>
      </c>
      <c r="R34" t="str">
        <f>IF(ISNUMBER(FIND("±", results!O34)), LEFT(results!O34, FIND("±", results!O34) - 1), results!O34)</f>
        <v xml:space="preserve">0.00 </v>
      </c>
      <c r="S34" t="str">
        <f>IF(ISNUMBER(FIND("±", results!P34)), LEFT(results!P34, FIND("±", results!P34) - 1), results!P34)</f>
        <v xml:space="preserve">6.13 </v>
      </c>
      <c r="T34">
        <f>IF(ISNUMBER(FIND("±", results!Q34)), LEFT(results!Q34, FIND("±", results!Q34) - 1), results!Q34)</f>
        <v>1</v>
      </c>
      <c r="V34" s="3" t="s">
        <v>1042</v>
      </c>
      <c r="W34" t="str">
        <f>IF(ISNUMBER(FIND("±", results!T34)), LEFT(results!T34, FIND("±", results!T34) - 1), results!T34)</f>
        <v xml:space="preserve">135.08 </v>
      </c>
      <c r="X34" t="str">
        <f>IF(ISNUMBER(FIND("±", results!U34)), LEFT(results!U34, FIND("±", results!U34) - 1), results!U34)</f>
        <v xml:space="preserve">76.44 </v>
      </c>
      <c r="Y34" t="str">
        <f>IF(ISNUMBER(FIND("±", results!V34)), LEFT(results!V34, FIND("±", results!V34) - 1), results!V34)</f>
        <v xml:space="preserve">12.65 </v>
      </c>
      <c r="Z34">
        <f>IF(ISNUMBER(FIND("±", results!W34)), LEFT(results!W34, FIND("±", results!W34) - 1), results!W34)</f>
        <v>1</v>
      </c>
      <c r="AA34" t="str">
        <f>IF(ISNUMBER(FIND("±", results!X34)), LEFT(results!X34, FIND("±", results!X34) - 1), results!X34)</f>
        <v xml:space="preserve">180.94 </v>
      </c>
      <c r="AB34" t="str">
        <f>IF(ISNUMBER(FIND("±", results!Y34)), LEFT(results!Y34, FIND("±", results!Y34) - 1), results!Y34)</f>
        <v xml:space="preserve">0.00 </v>
      </c>
      <c r="AC34" t="str">
        <f>IF(ISNUMBER(FIND("±", results!Z34)), LEFT(results!Z34, FIND("±", results!Z34) - 1), results!Z34)</f>
        <v xml:space="preserve">26.80 </v>
      </c>
      <c r="AD34">
        <f>IF(ISNUMBER(FIND("±", results!AA34)), LEFT(results!AA34, FIND("±", results!AA34) - 1), results!AA34)</f>
        <v>1</v>
      </c>
      <c r="AE34" t="str">
        <f>IF(ISNUMBER(FIND("±", results!AB34)), LEFT(results!AB34, FIND("±", results!AB34) - 1), results!AB34)</f>
        <v xml:space="preserve">121.74 </v>
      </c>
      <c r="AF34" t="str">
        <f>IF(ISNUMBER(FIND("±", results!AC34)), LEFT(results!AC34, FIND("±", results!AC34) - 1), results!AC34)</f>
        <v xml:space="preserve">0.00 </v>
      </c>
      <c r="AG34" t="str">
        <f>IF(ISNUMBER(FIND("±", results!AD34)), LEFT(results!AD34, FIND("±", results!AD34) - 1), results!AD34)</f>
        <v xml:space="preserve">16.45 </v>
      </c>
      <c r="AH34">
        <f>IF(ISNUMBER(FIND("±", results!AE34)), LEFT(results!AE34, FIND("±", results!AE34) - 1), results!AE34)</f>
        <v>1</v>
      </c>
      <c r="AI34" s="19" t="str">
        <f>IF(ISNUMBER(FIND("±", results!AF34)), LEFT(results!AF34, FIND("±", results!AF34) - 1), results!AF34)</f>
        <v xml:space="preserve">76.20 </v>
      </c>
      <c r="AJ34" t="str">
        <f>IF(ISNUMBER(FIND("±", results!AG34)), LEFT(results!AG34, FIND("±", results!AG34) - 1), results!AG34)</f>
        <v xml:space="preserve">0.00 </v>
      </c>
      <c r="AK34" t="str">
        <f>IF(ISNUMBER(FIND("±", results!AH34)), LEFT(results!AH34, FIND("±", results!AH34) - 1), results!AH34)</f>
        <v xml:space="preserve">7.09 </v>
      </c>
      <c r="AL34">
        <f>IF(ISNUMBER(FIND("±", results!AI34)), LEFT(results!AI34, FIND("±", results!AI34) - 1), results!AI34)</f>
        <v>1</v>
      </c>
    </row>
    <row r="35" spans="4:38" ht="15.75" thickBot="1" x14ac:dyDescent="0.3">
      <c r="D35" s="3" t="s">
        <v>2236</v>
      </c>
      <c r="Q35" s="19"/>
      <c r="V35" s="3"/>
      <c r="AI35" s="19"/>
    </row>
    <row r="36" spans="4:38" ht="15.75" thickBot="1" x14ac:dyDescent="0.3">
      <c r="D36" s="8" t="s">
        <v>1043</v>
      </c>
      <c r="E36" t="str">
        <f>IF(ISNUMBER(FIND("±", results!B35)), LEFT(results!B35, FIND("±", results!B35) - 1), results!B35)</f>
        <v xml:space="preserve">28.34 </v>
      </c>
      <c r="F36" t="str">
        <f>IF(ISNUMBER(FIND("±", results!C35)), LEFT(results!C35, FIND("±", results!C35) - 1), results!C35)</f>
        <v xml:space="preserve">12.18 </v>
      </c>
      <c r="G36" t="str">
        <f>IF(ISNUMBER(FIND("±", results!D35)), LEFT(results!D35, FIND("±", results!D35) - 1), results!D35)</f>
        <v xml:space="preserve">0.46 </v>
      </c>
      <c r="H36">
        <f>IF(ISNUMBER(FIND("±", results!E35)), LEFT(results!E35, FIND("±", results!E35) - 1), results!E35)</f>
        <v>1</v>
      </c>
      <c r="I36" t="str">
        <f>IF(ISNUMBER(FIND("±", results!F35)), LEFT(results!F35, FIND("±", results!F35) - 1), results!F35)</f>
        <v xml:space="preserve">24.16 </v>
      </c>
      <c r="J36" t="str">
        <f>IF(ISNUMBER(FIND("±", results!G35)), LEFT(results!G35, FIND("±", results!G35) - 1), results!G35)</f>
        <v xml:space="preserve">0.00 </v>
      </c>
      <c r="K36" t="str">
        <f>IF(ISNUMBER(FIND("±", results!H35)), LEFT(results!H35, FIND("±", results!H35) - 1), results!H35)</f>
        <v xml:space="preserve">0.44 </v>
      </c>
      <c r="L36">
        <f>IF(ISNUMBER(FIND("±", results!I35)), LEFT(results!I35, FIND("±", results!I35) - 1), results!I35)</f>
        <v>1</v>
      </c>
      <c r="M36" t="str">
        <f>IF(ISNUMBER(FIND("±", results!J35)), LEFT(results!J35, FIND("±", results!J35) - 1), results!J35)</f>
        <v xml:space="preserve">10.60 </v>
      </c>
      <c r="N36" t="str">
        <f>IF(ISNUMBER(FIND("±", results!K35)), LEFT(results!K35, FIND("±", results!K35) - 1), results!K35)</f>
        <v xml:space="preserve">0.00 </v>
      </c>
      <c r="O36" t="str">
        <f>IF(ISNUMBER(FIND("±", results!L35)), LEFT(results!L35, FIND("±", results!L35) - 1), results!L35)</f>
        <v xml:space="preserve">0.17 </v>
      </c>
      <c r="P36">
        <f>IF(ISNUMBER(FIND("±", results!M35)), LEFT(results!M35, FIND("±", results!M35) - 1), results!M35)</f>
        <v>1</v>
      </c>
      <c r="Q36" s="19" t="str">
        <f>IF(ISNUMBER(FIND("±", results!N35)), LEFT(results!N35, FIND("±", results!N35) - 1), results!N35)</f>
        <v xml:space="preserve">10.50 </v>
      </c>
      <c r="R36" t="str">
        <f>IF(ISNUMBER(FIND("±", results!O35)), LEFT(results!O35, FIND("±", results!O35) - 1), results!O35)</f>
        <v xml:space="preserve">0.00 </v>
      </c>
      <c r="S36" t="str">
        <f>IF(ISNUMBER(FIND("±", results!P35)), LEFT(results!P35, FIND("±", results!P35) - 1), results!P35)</f>
        <v xml:space="preserve">0.20 </v>
      </c>
      <c r="T36">
        <f>IF(ISNUMBER(FIND("±", results!Q35)), LEFT(results!Q35, FIND("±", results!Q35) - 1), results!Q35)</f>
        <v>1</v>
      </c>
      <c r="V36" s="8" t="s">
        <v>1043</v>
      </c>
      <c r="W36" t="str">
        <f>IF(ISNUMBER(FIND("±", results!T35)), LEFT(results!T35, FIND("±", results!T35) - 1), results!T35)</f>
        <v xml:space="preserve">29.60 </v>
      </c>
      <c r="X36" t="str">
        <f>IF(ISNUMBER(FIND("±", results!U35)), LEFT(results!U35, FIND("±", results!U35) - 1), results!U35)</f>
        <v xml:space="preserve">12.84 </v>
      </c>
      <c r="Y36" t="str">
        <f>IF(ISNUMBER(FIND("±", results!V35)), LEFT(results!V35, FIND("±", results!V35) - 1), results!V35)</f>
        <v xml:space="preserve">0.52 </v>
      </c>
      <c r="Z36">
        <f>IF(ISNUMBER(FIND("±", results!W35)), LEFT(results!W35, FIND("±", results!W35) - 1), results!W35)</f>
        <v>1</v>
      </c>
      <c r="AA36" t="str">
        <f>IF(ISNUMBER(FIND("±", results!X35)), LEFT(results!X35, FIND("±", results!X35) - 1), results!X35)</f>
        <v xml:space="preserve">24.28 </v>
      </c>
      <c r="AB36" t="str">
        <f>IF(ISNUMBER(FIND("±", results!Y35)), LEFT(results!Y35, FIND("±", results!Y35) - 1), results!Y35)</f>
        <v xml:space="preserve">0.00 </v>
      </c>
      <c r="AC36" t="str">
        <f>IF(ISNUMBER(FIND("±", results!Z35)), LEFT(results!Z35, FIND("±", results!Z35) - 1), results!Z35)</f>
        <v xml:space="preserve">0.53 </v>
      </c>
      <c r="AD36">
        <f>IF(ISNUMBER(FIND("±", results!AA35)), LEFT(results!AA35, FIND("±", results!AA35) - 1), results!AA35)</f>
        <v>1</v>
      </c>
      <c r="AE36" t="str">
        <f>IF(ISNUMBER(FIND("±", results!AB35)), LEFT(results!AB35, FIND("±", results!AB35) - 1), results!AB35)</f>
        <v xml:space="preserve">17.00 </v>
      </c>
      <c r="AF36" t="str">
        <f>IF(ISNUMBER(FIND("±", results!AC35)), LEFT(results!AC35, FIND("±", results!AC35) - 1), results!AC35)</f>
        <v xml:space="preserve">0.00 </v>
      </c>
      <c r="AG36" t="str">
        <f>IF(ISNUMBER(FIND("±", results!AD35)), LEFT(results!AD35, FIND("±", results!AD35) - 1), results!AD35)</f>
        <v xml:space="preserve">0.41 </v>
      </c>
      <c r="AH36">
        <f>IF(ISNUMBER(FIND("±", results!AE35)), LEFT(results!AE35, FIND("±", results!AE35) - 1), results!AE35)</f>
        <v>1</v>
      </c>
      <c r="AI36" s="19" t="str">
        <f>IF(ISNUMBER(FIND("±", results!AF35)), LEFT(results!AF35, FIND("±", results!AF35) - 1), results!AF35)</f>
        <v xml:space="preserve">16.52 </v>
      </c>
      <c r="AJ36" t="str">
        <f>IF(ISNUMBER(FIND("±", results!AG35)), LEFT(results!AG35, FIND("±", results!AG35) - 1), results!AG35)</f>
        <v xml:space="preserve">0.00 </v>
      </c>
      <c r="AK36" t="str">
        <f>IF(ISNUMBER(FIND("±", results!AH35)), LEFT(results!AH35, FIND("±", results!AH35) - 1), results!AH35)</f>
        <v xml:space="preserve">0.52 </v>
      </c>
      <c r="AL36">
        <f>IF(ISNUMBER(FIND("±", results!AI35)), LEFT(results!AI35, FIND("±", results!AI35) - 1), results!AI35)</f>
        <v>1</v>
      </c>
    </row>
    <row r="37" spans="4:38" ht="15.75" thickBot="1" x14ac:dyDescent="0.3">
      <c r="D37" s="2" t="s">
        <v>2235</v>
      </c>
      <c r="Q37" s="19"/>
      <c r="V37" s="2"/>
      <c r="AI37" s="19"/>
    </row>
    <row r="38" spans="4:38" x14ac:dyDescent="0.25">
      <c r="D38" s="2" t="s">
        <v>1044</v>
      </c>
      <c r="E38" t="str">
        <f>IF(ISNUMBER(FIND("±", results!B36)), LEFT(results!B36, FIND("±", results!B36) - 1), results!B36)</f>
        <v xml:space="preserve">185.42 </v>
      </c>
      <c r="F38" t="str">
        <f>IF(ISNUMBER(FIND("±", results!C36)), LEFT(results!C36, FIND("±", results!C36) - 1), results!C36)</f>
        <v xml:space="preserve">149.80 </v>
      </c>
      <c r="G38" t="str">
        <f>IF(ISNUMBER(FIND("±", results!D36)), LEFT(results!D36, FIND("±", results!D36) - 1), results!D36)</f>
        <v xml:space="preserve">4.41 </v>
      </c>
      <c r="H38">
        <f>IF(ISNUMBER(FIND("±", results!E36)), LEFT(results!E36, FIND("±", results!E36) - 1), results!E36)</f>
        <v>1</v>
      </c>
      <c r="I38" t="str">
        <f>IF(ISNUMBER(FIND("±", results!F36)), LEFT(results!F36, FIND("±", results!F36) - 1), results!F36)</f>
        <v xml:space="preserve">197.68 </v>
      </c>
      <c r="J38" t="str">
        <f>IF(ISNUMBER(FIND("±", results!G36)), LEFT(results!G36, FIND("±", results!G36) - 1), results!G36)</f>
        <v xml:space="preserve">0.00 </v>
      </c>
      <c r="K38" t="str">
        <f>IF(ISNUMBER(FIND("±", results!H36)), LEFT(results!H36, FIND("±", results!H36) - 1), results!H36)</f>
        <v xml:space="preserve">6.53 </v>
      </c>
      <c r="L38">
        <f>IF(ISNUMBER(FIND("±", results!I36)), LEFT(results!I36, FIND("±", results!I36) - 1), results!I36)</f>
        <v>1</v>
      </c>
      <c r="M38" t="str">
        <f>IF(ISNUMBER(FIND("±", results!J36)), LEFT(results!J36, FIND("±", results!J36) - 1), results!J36)</f>
        <v xml:space="preserve">88.36 </v>
      </c>
      <c r="N38" t="str">
        <f>IF(ISNUMBER(FIND("±", results!K36)), LEFT(results!K36, FIND("±", results!K36) - 1), results!K36)</f>
        <v xml:space="preserve">0.00 </v>
      </c>
      <c r="O38" t="str">
        <f>IF(ISNUMBER(FIND("±", results!L36)), LEFT(results!L36, FIND("±", results!L36) - 1), results!L36)</f>
        <v xml:space="preserve">2.60 </v>
      </c>
      <c r="P38">
        <f>IF(ISNUMBER(FIND("±", results!M36)), LEFT(results!M36, FIND("±", results!M36) - 1), results!M36)</f>
        <v>1</v>
      </c>
      <c r="Q38" s="19" t="str">
        <f>IF(ISNUMBER(FIND("±", results!N36)), LEFT(results!N36, FIND("±", results!N36) - 1), results!N36)</f>
        <v xml:space="preserve">71.94 </v>
      </c>
      <c r="R38" t="str">
        <f>IF(ISNUMBER(FIND("±", results!O36)), LEFT(results!O36, FIND("±", results!O36) - 1), results!O36)</f>
        <v xml:space="preserve">0.00 </v>
      </c>
      <c r="S38" t="str">
        <f>IF(ISNUMBER(FIND("±", results!P36)), LEFT(results!P36, FIND("±", results!P36) - 1), results!P36)</f>
        <v xml:space="preserve">3.10 </v>
      </c>
      <c r="T38">
        <f>IF(ISNUMBER(FIND("±", results!Q36)), LEFT(results!Q36, FIND("±", results!Q36) - 1), results!Q36)</f>
        <v>1</v>
      </c>
      <c r="V38" s="2" t="s">
        <v>1044</v>
      </c>
      <c r="W38" t="str">
        <f>IF(ISNUMBER(FIND("±", results!T36)), LEFT(results!T36, FIND("±", results!T36) - 1), results!T36)</f>
        <v xml:space="preserve">166.86 </v>
      </c>
      <c r="X38" t="str">
        <f>IF(ISNUMBER(FIND("±", results!U36)), LEFT(results!U36, FIND("±", results!U36) - 1), results!U36)</f>
        <v xml:space="preserve">134.68 </v>
      </c>
      <c r="Y38" t="str">
        <f>IF(ISNUMBER(FIND("±", results!V36)), LEFT(results!V36, FIND("±", results!V36) - 1), results!V36)</f>
        <v xml:space="preserve">4.68 </v>
      </c>
      <c r="Z38">
        <f>IF(ISNUMBER(FIND("±", results!W36)), LEFT(results!W36, FIND("±", results!W36) - 1), results!W36)</f>
        <v>1</v>
      </c>
      <c r="AA38" t="str">
        <f>IF(ISNUMBER(FIND("±", results!X36)), LEFT(results!X36, FIND("±", results!X36) - 1), results!X36)</f>
        <v xml:space="preserve">191.80 </v>
      </c>
      <c r="AB38" t="str">
        <f>IF(ISNUMBER(FIND("±", results!Y36)), LEFT(results!Y36, FIND("±", results!Y36) - 1), results!Y36)</f>
        <v xml:space="preserve">0.00 </v>
      </c>
      <c r="AC38" t="str">
        <f>IF(ISNUMBER(FIND("±", results!Z36)), LEFT(results!Z36, FIND("±", results!Z36) - 1), results!Z36)</f>
        <v xml:space="preserve">7.47 </v>
      </c>
      <c r="AD38">
        <f>IF(ISNUMBER(FIND("±", results!AA36)), LEFT(results!AA36, FIND("±", results!AA36) - 1), results!AA36)</f>
        <v>1</v>
      </c>
      <c r="AE38" t="str">
        <f>IF(ISNUMBER(FIND("±", results!AB36)), LEFT(results!AB36, FIND("±", results!AB36) - 1), results!AB36)</f>
        <v xml:space="preserve">87.29 </v>
      </c>
      <c r="AF38" t="str">
        <f>IF(ISNUMBER(FIND("±", results!AC36)), LEFT(results!AC36, FIND("±", results!AC36) - 1), results!AC36)</f>
        <v xml:space="preserve">0.00 </v>
      </c>
      <c r="AG38" t="str">
        <f>IF(ISNUMBER(FIND("±", results!AD36)), LEFT(results!AD36, FIND("±", results!AD36) - 1), results!AD36)</f>
        <v xml:space="preserve">2.52 </v>
      </c>
      <c r="AH38">
        <f>IF(ISNUMBER(FIND("±", results!AE36)), LEFT(results!AE36, FIND("±", results!AE36) - 1), results!AE36)</f>
        <v>1</v>
      </c>
      <c r="AI38" s="19" t="str">
        <f>IF(ISNUMBER(FIND("±", results!AF36)), LEFT(results!AF36, FIND("±", results!AF36) - 1), results!AF36)</f>
        <v xml:space="preserve">60.84 </v>
      </c>
      <c r="AJ38" t="str">
        <f>IF(ISNUMBER(FIND("±", results!AG36)), LEFT(results!AG36, FIND("±", results!AG36) - 1), results!AG36)</f>
        <v xml:space="preserve">0.00 </v>
      </c>
      <c r="AK38" t="str">
        <f>IF(ISNUMBER(FIND("±", results!AH36)), LEFT(results!AH36, FIND("±", results!AH36) - 1), results!AH36)</f>
        <v xml:space="preserve">2.31 </v>
      </c>
      <c r="AL38">
        <f>IF(ISNUMBER(FIND("±", results!AI36)), LEFT(results!AI36, FIND("±", results!AI36) - 1), results!AI36)</f>
        <v>1</v>
      </c>
    </row>
    <row r="39" spans="4:38" ht="15.75" thickBot="1" x14ac:dyDescent="0.3">
      <c r="D39" s="4" t="s">
        <v>1045</v>
      </c>
      <c r="E39" t="str">
        <f>IF(ISNUMBER(FIND("±", results!B37)), LEFT(results!B37, FIND("±", results!B37) - 1), results!B37)</f>
        <v xml:space="preserve">653.36 </v>
      </c>
      <c r="F39" t="str">
        <f>IF(ISNUMBER(FIND("±", results!C37)), LEFT(results!C37, FIND("±", results!C37) - 1), results!C37)</f>
        <v xml:space="preserve">581.52 </v>
      </c>
      <c r="G39" t="str">
        <f>IF(ISNUMBER(FIND("±", results!D37)), LEFT(results!D37, FIND("±", results!D37) - 1), results!D37)</f>
        <v xml:space="preserve">143.15 </v>
      </c>
      <c r="H39">
        <f>IF(ISNUMBER(FIND("±", results!E37)), LEFT(results!E37, FIND("±", results!E37) - 1), results!E37)</f>
        <v>1</v>
      </c>
      <c r="I39" t="str">
        <f>IF(ISNUMBER(FIND("±", results!F37)), LEFT(results!F37, FIND("±", results!F37) - 1), results!F37)</f>
        <v xml:space="preserve">749.72 </v>
      </c>
      <c r="J39" t="str">
        <f>IF(ISNUMBER(FIND("±", results!G37)), LEFT(results!G37, FIND("±", results!G37) - 1), results!G37)</f>
        <v xml:space="preserve">0.00 </v>
      </c>
      <c r="K39" t="str">
        <f>IF(ISNUMBER(FIND("±", results!H37)), LEFT(results!H37, FIND("±", results!H37) - 1), results!H37)</f>
        <v xml:space="preserve">262.53 </v>
      </c>
      <c r="L39">
        <f>IF(ISNUMBER(FIND("±", results!I37)), LEFT(results!I37, FIND("±", results!I37) - 1), results!I37)</f>
        <v>1</v>
      </c>
      <c r="M39" t="str">
        <f>IF(ISNUMBER(FIND("±", results!J37)), LEFT(results!J37, FIND("±", results!J37) - 1), results!J37)</f>
        <v xml:space="preserve">425.04 </v>
      </c>
      <c r="N39" t="str">
        <f>IF(ISNUMBER(FIND("±", results!K37)), LEFT(results!K37, FIND("±", results!K37) - 1), results!K37)</f>
        <v xml:space="preserve">0.00 </v>
      </c>
      <c r="O39" t="str">
        <f>IF(ISNUMBER(FIND("±", results!L37)), LEFT(results!L37, FIND("±", results!L37) - 1), results!L37)</f>
        <v xml:space="preserve">82.54 </v>
      </c>
      <c r="P39">
        <f>IF(ISNUMBER(FIND("±", results!M37)), LEFT(results!M37, FIND("±", results!M37) - 1), results!M37)</f>
        <v>1</v>
      </c>
      <c r="Q39" s="19" t="str">
        <f>IF(ISNUMBER(FIND("±", results!N37)), LEFT(results!N37, FIND("±", results!N37) - 1), results!N37)</f>
        <v xml:space="preserve">268.68 </v>
      </c>
      <c r="R39" t="str">
        <f>IF(ISNUMBER(FIND("±", results!O37)), LEFT(results!O37, FIND("±", results!O37) - 1), results!O37)</f>
        <v xml:space="preserve">0.00 </v>
      </c>
      <c r="S39" t="str">
        <f>IF(ISNUMBER(FIND("±", results!P37)), LEFT(results!P37, FIND("±", results!P37) - 1), results!P37)</f>
        <v xml:space="preserve">78.44 </v>
      </c>
      <c r="T39">
        <f>IF(ISNUMBER(FIND("±", results!Q37)), LEFT(results!Q37, FIND("±", results!Q37) - 1), results!Q37)</f>
        <v>1</v>
      </c>
      <c r="V39" s="4" t="s">
        <v>1045</v>
      </c>
      <c r="W39" t="str">
        <f>IF(ISNUMBER(FIND("±", results!T37)), LEFT(results!T37, FIND("±", results!T37) - 1), results!T37)</f>
        <v xml:space="preserve">641.08 </v>
      </c>
      <c r="X39" t="str">
        <f>IF(ISNUMBER(FIND("±", results!U37)), LEFT(results!U37, FIND("±", results!U37) - 1), results!U37)</f>
        <v xml:space="preserve">572.88 </v>
      </c>
      <c r="Y39" t="str">
        <f>IF(ISNUMBER(FIND("±", results!V37)), LEFT(results!V37, FIND("±", results!V37) - 1), results!V37)</f>
        <v xml:space="preserve">174.30 </v>
      </c>
      <c r="Z39" t="str">
        <f>IF(ISNUMBER(FIND("±", results!W37)), LEFT(results!W37, FIND("±", results!W37) - 1), results!W37)</f>
        <v>1.00</v>
      </c>
      <c r="AA39" t="str">
        <f>IF(ISNUMBER(FIND("±", results!X37)), LEFT(results!X37, FIND("±", results!X37) - 1), results!X37)</f>
        <v xml:space="preserve">736.06 </v>
      </c>
      <c r="AB39" t="str">
        <f>IF(ISNUMBER(FIND("±", results!Y37)), LEFT(results!Y37, FIND("±", results!Y37) - 1), results!Y37)</f>
        <v xml:space="preserve">0.00 </v>
      </c>
      <c r="AC39" t="str">
        <f>IF(ISNUMBER(FIND("±", results!Z37)), LEFT(results!Z37, FIND("±", results!Z37) - 1), results!Z37)</f>
        <v xml:space="preserve">298.73 </v>
      </c>
      <c r="AD39" t="str">
        <f>IF(ISNUMBER(FIND("±", results!AA37)), LEFT(results!AA37, FIND("±", results!AA37) - 1), results!AA37)</f>
        <v>1.00</v>
      </c>
      <c r="AE39" t="str">
        <f>IF(ISNUMBER(FIND("±", results!AB37)), LEFT(results!AB37, FIND("±", results!AB37) - 1), results!AB37)</f>
        <v xml:space="preserve">360.23 </v>
      </c>
      <c r="AF39" t="str">
        <f>IF(ISNUMBER(FIND("±", results!AC37)), LEFT(results!AC37, FIND("±", results!AC37) - 1), results!AC37)</f>
        <v xml:space="preserve">0.00 </v>
      </c>
      <c r="AG39" t="str">
        <f>IF(ISNUMBER(FIND("±", results!AD37)), LEFT(results!AD37, FIND("±", results!AD37) - 1), results!AD37)</f>
        <v xml:space="preserve">86.96 </v>
      </c>
      <c r="AH39" t="str">
        <f>IF(ISNUMBER(FIND("±", results!AE37)), LEFT(results!AE37, FIND("±", results!AE37) - 1), results!AE37)</f>
        <v>1.00</v>
      </c>
      <c r="AI39" s="19" t="str">
        <f>IF(ISNUMBER(FIND("±", results!AF37)), LEFT(results!AF37, FIND("±", results!AF37) - 1), results!AF37)</f>
        <v xml:space="preserve">257.42 </v>
      </c>
      <c r="AJ39" t="str">
        <f>IF(ISNUMBER(FIND("±", results!AG37)), LEFT(results!AG37, FIND("±", results!AG37) - 1), results!AG37)</f>
        <v xml:space="preserve">0.00 </v>
      </c>
      <c r="AK39" t="str">
        <f>IF(ISNUMBER(FIND("±", results!AH37)), LEFT(results!AH37, FIND("±", results!AH37) - 1), results!AH37)</f>
        <v xml:space="preserve">89.12 </v>
      </c>
      <c r="AL39" t="str">
        <f>IF(ISNUMBER(FIND("±", results!AI37)), LEFT(results!AI37, FIND("±", results!AI37) - 1), results!AI37)</f>
        <v>1.00</v>
      </c>
    </row>
    <row r="40" spans="4:38" x14ac:dyDescent="0.25">
      <c r="D40" s="2" t="s">
        <v>1046</v>
      </c>
      <c r="E40" t="str">
        <f>IF(ISNUMBER(FIND("±", results!B38)), LEFT(results!B38, FIND("±", results!B38) - 1), results!B38)</f>
        <v xml:space="preserve">91.67 </v>
      </c>
      <c r="F40" t="str">
        <f>IF(ISNUMBER(FIND("±", results!C38)), LEFT(results!C38, FIND("±", results!C38) - 1), results!C38)</f>
        <v xml:space="preserve">37.00 </v>
      </c>
      <c r="G40" t="str">
        <f>IF(ISNUMBER(FIND("±", results!D38)), LEFT(results!D38, FIND("±", results!D38) - 1), results!D38)</f>
        <v xml:space="preserve">3.57 </v>
      </c>
      <c r="H40">
        <f>IF(ISNUMBER(FIND("±", results!E38)), LEFT(results!E38, FIND("±", results!E38) - 1), results!E38)</f>
        <v>1</v>
      </c>
      <c r="I40" t="str">
        <f>IF(ISNUMBER(FIND("±", results!F38)), LEFT(results!F38, FIND("±", results!F38) - 1), results!F38)</f>
        <v xml:space="preserve">92.78 </v>
      </c>
      <c r="J40" t="str">
        <f>IF(ISNUMBER(FIND("±", results!G38)), LEFT(results!G38, FIND("±", results!G38) - 1), results!G38)</f>
        <v xml:space="preserve">0.00 </v>
      </c>
      <c r="K40" t="str">
        <f>IF(ISNUMBER(FIND("±", results!H38)), LEFT(results!H38, FIND("±", results!H38) - 1), results!H38)</f>
        <v xml:space="preserve">3.76 </v>
      </c>
      <c r="L40">
        <f>IF(ISNUMBER(FIND("±", results!I38)), LEFT(results!I38, FIND("±", results!I38) - 1), results!I38)</f>
        <v>1</v>
      </c>
      <c r="M40" s="19" t="str">
        <f>IF(ISNUMBER(FIND("±", results!J38)), LEFT(results!J38, FIND("±", results!J38) - 1), results!J38)</f>
        <v xml:space="preserve">50.40 </v>
      </c>
      <c r="N40" t="str">
        <f>IF(ISNUMBER(FIND("±", results!K38)), LEFT(results!K38, FIND("±", results!K38) - 1), results!K38)</f>
        <v xml:space="preserve">0.00 </v>
      </c>
      <c r="O40" t="str">
        <f>IF(ISNUMBER(FIND("±", results!L38)), LEFT(results!L38, FIND("±", results!L38) - 1), results!L38)</f>
        <v xml:space="preserve">1.20 </v>
      </c>
      <c r="P40">
        <f>IF(ISNUMBER(FIND("±", results!M38)), LEFT(results!M38, FIND("±", results!M38) - 1), results!M38)</f>
        <v>1</v>
      </c>
      <c r="Q40" t="str">
        <f>IF(ISNUMBER(FIND("±", results!N38)), LEFT(results!N38, FIND("±", results!N38) - 1), results!N38)</f>
        <v xml:space="preserve">51.04 </v>
      </c>
      <c r="R40" t="str">
        <f>IF(ISNUMBER(FIND("±", results!O38)), LEFT(results!O38, FIND("±", results!O38) - 1), results!O38)</f>
        <v xml:space="preserve">0.00 </v>
      </c>
      <c r="S40" t="str">
        <f>IF(ISNUMBER(FIND("±", results!P38)), LEFT(results!P38, FIND("±", results!P38) - 1), results!P38)</f>
        <v xml:space="preserve">1.44 </v>
      </c>
      <c r="T40">
        <f>IF(ISNUMBER(FIND("±", results!Q38)), LEFT(results!Q38, FIND("±", results!Q38) - 1), results!Q38)</f>
        <v>0.9</v>
      </c>
      <c r="V40" s="2" t="s">
        <v>1046</v>
      </c>
    </row>
    <row r="41" spans="4:38" ht="15.75" thickBot="1" x14ac:dyDescent="0.3">
      <c r="D41" s="4" t="s">
        <v>1047</v>
      </c>
      <c r="E41" t="str">
        <f>IF(ISNUMBER(FIND("±", results!B39)), LEFT(results!B39, FIND("±", results!B39) - 1), results!B39)</f>
        <v xml:space="preserve">181.33 </v>
      </c>
      <c r="F41" t="str">
        <f>IF(ISNUMBER(FIND("±", results!C39)), LEFT(results!C39, FIND("±", results!C39) - 1), results!C39)</f>
        <v xml:space="preserve">77.87 </v>
      </c>
      <c r="G41" t="str">
        <f>IF(ISNUMBER(FIND("±", results!D39)), LEFT(results!D39, FIND("±", results!D39) - 1), results!D39)</f>
        <v xml:space="preserve">32.05 </v>
      </c>
      <c r="H41">
        <f>IF(ISNUMBER(FIND("±", results!E39)), LEFT(results!E39, FIND("±", results!E39) - 1), results!E39)</f>
        <v>1</v>
      </c>
      <c r="I41" t="str">
        <f>IF(ISNUMBER(FIND("±", results!F39)), LEFT(results!F39, FIND("±", results!F39) - 1), results!F39)</f>
        <v xml:space="preserve">182.33 </v>
      </c>
      <c r="J41" t="str">
        <f>IF(ISNUMBER(FIND("±", results!G39)), LEFT(results!G39, FIND("±", results!G39) - 1), results!G39)</f>
        <v xml:space="preserve">0.00 </v>
      </c>
      <c r="K41" t="str">
        <f>IF(ISNUMBER(FIND("±", results!H39)), LEFT(results!H39, FIND("±", results!H39) - 1), results!H39)</f>
        <v xml:space="preserve">31.89 </v>
      </c>
      <c r="L41">
        <f>IF(ISNUMBER(FIND("±", results!I39)), LEFT(results!I39, FIND("±", results!I39) - 1), results!I39)</f>
        <v>1</v>
      </c>
      <c r="M41" s="19" t="str">
        <f>IF(ISNUMBER(FIND("±", results!J39)), LEFT(results!J39, FIND("±", results!J39) - 1), results!J39)</f>
        <v xml:space="preserve">74.67 </v>
      </c>
      <c r="N41" t="str">
        <f>IF(ISNUMBER(FIND("±", results!K39)), LEFT(results!K39, FIND("±", results!K39) - 1), results!K39)</f>
        <v xml:space="preserve">0.00 </v>
      </c>
      <c r="O41" t="str">
        <f>IF(ISNUMBER(FIND("±", results!L39)), LEFT(results!L39, FIND("±", results!L39) - 1), results!L39)</f>
        <v xml:space="preserve">9.84 </v>
      </c>
      <c r="P41">
        <f>IF(ISNUMBER(FIND("±", results!M39)), LEFT(results!M39, FIND("±", results!M39) - 1), results!M39)</f>
        <v>1</v>
      </c>
      <c r="Q41" t="str">
        <f>IF(ISNUMBER(FIND("±", results!N39)), LEFT(results!N39, FIND("±", results!N39) - 1), results!N39)</f>
        <v xml:space="preserve">85.69 </v>
      </c>
      <c r="R41" t="str">
        <f>IF(ISNUMBER(FIND("±", results!O39)), LEFT(results!O39, FIND("±", results!O39) - 1), results!O39)</f>
        <v xml:space="preserve">0.00 </v>
      </c>
      <c r="S41" t="str">
        <f>IF(ISNUMBER(FIND("±", results!P39)), LEFT(results!P39, FIND("±", results!P39) - 1), results!P39)</f>
        <v xml:space="preserve">14.95 </v>
      </c>
      <c r="T41">
        <f>IF(ISNUMBER(FIND("±", results!Q39)), LEFT(results!Q39, FIND("±", results!Q39) - 1), results!Q39)</f>
        <v>1</v>
      </c>
      <c r="V41" s="4" t="s">
        <v>1047</v>
      </c>
    </row>
    <row r="44" spans="4:38" ht="15.75" thickBot="1" x14ac:dyDescent="0.3"/>
    <row r="45" spans="4:38" ht="15.75" thickBot="1" x14ac:dyDescent="0.3">
      <c r="D45" s="217" t="s">
        <v>208</v>
      </c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5"/>
    </row>
    <row r="46" spans="4:38" x14ac:dyDescent="0.25">
      <c r="D46" s="222" t="s">
        <v>1035</v>
      </c>
      <c r="E46" s="220" t="s">
        <v>46</v>
      </c>
      <c r="F46" s="221"/>
      <c r="G46" s="221"/>
      <c r="H46" s="221"/>
      <c r="I46" s="214" t="s">
        <v>32</v>
      </c>
      <c r="J46" s="216"/>
      <c r="K46" s="216"/>
      <c r="L46" s="215"/>
      <c r="M46" s="216" t="s">
        <v>41</v>
      </c>
      <c r="N46" s="216"/>
      <c r="O46" s="216"/>
      <c r="P46" s="215"/>
    </row>
    <row r="47" spans="4:38" ht="15.75" thickBot="1" x14ac:dyDescent="0.3">
      <c r="D47" s="223"/>
      <c r="E47" s="4" t="s">
        <v>47</v>
      </c>
      <c r="F47" s="15" t="s">
        <v>1048</v>
      </c>
      <c r="G47" s="15" t="s">
        <v>48</v>
      </c>
      <c r="H47" s="15" t="s">
        <v>621</v>
      </c>
      <c r="I47" s="4" t="s">
        <v>47</v>
      </c>
      <c r="J47" s="15" t="s">
        <v>1048</v>
      </c>
      <c r="K47" s="15" t="s">
        <v>48</v>
      </c>
      <c r="L47" s="7" t="s">
        <v>621</v>
      </c>
      <c r="M47" s="15" t="s">
        <v>47</v>
      </c>
      <c r="N47" s="15" t="s">
        <v>1048</v>
      </c>
      <c r="O47" s="15" t="s">
        <v>48</v>
      </c>
      <c r="P47" s="7" t="s">
        <v>621</v>
      </c>
    </row>
    <row r="48" spans="4:38" x14ac:dyDescent="0.25">
      <c r="D48" s="2" t="s">
        <v>1036</v>
      </c>
      <c r="E48" t="str">
        <f>IF(ISNUMBER(FIND("±", results!B46)), LEFT(results!B46, FIND("±", results!B46) - 1), results!B46)</f>
        <v xml:space="preserve">92.06 </v>
      </c>
      <c r="F48" t="str">
        <f>IF(ISNUMBER(FIND("±", results!C46)), LEFT(results!C46, FIND("±", results!C46) - 1), results!C46)</f>
        <v xml:space="preserve">2.06 </v>
      </c>
      <c r="G48" t="str">
        <f>IF(ISNUMBER(FIND("±", results!D46)), LEFT(results!D46, FIND("±", results!D46) - 1), results!D46)</f>
        <v xml:space="preserve">1.17 </v>
      </c>
      <c r="H48">
        <f>IF(ISNUMBER(FIND("±", results!E46)), LEFT(results!E46, FIND("±", results!E46) - 1), results!E46)</f>
        <v>1</v>
      </c>
      <c r="I48" t="str">
        <f>IF(ISNUMBER(FIND("±", results!F46)), LEFT(results!F46, FIND("±", results!F46) - 1), results!F46)</f>
        <v xml:space="preserve">99.90 </v>
      </c>
      <c r="J48" t="str">
        <f>IF(ISNUMBER(FIND("±", results!G46)), LEFT(results!G46, FIND("±", results!G46) - 1), results!G46)</f>
        <v xml:space="preserve">0.39 </v>
      </c>
      <c r="K48" t="str">
        <f>IF(ISNUMBER(FIND("±", results!H46)), LEFT(results!H46, FIND("±", results!H46) - 1), results!H46)</f>
        <v xml:space="preserve">2.37 </v>
      </c>
      <c r="L48">
        <f>IF(ISNUMBER(FIND("±", results!I46)), LEFT(results!I46, FIND("±", results!I46) - 1), results!I46)</f>
        <v>1</v>
      </c>
      <c r="M48" s="19" t="str">
        <f>IF(ISNUMBER(FIND("±", results!J46)), LEFT(results!J46, FIND("±", results!J46) - 1), results!J46)</f>
        <v xml:space="preserve">83.31 </v>
      </c>
      <c r="N48" t="str">
        <f>IF(ISNUMBER(FIND("±", results!K46)), LEFT(results!K46, FIND("±", results!K46) - 1), results!K46)</f>
        <v xml:space="preserve">0.53 </v>
      </c>
      <c r="O48" t="str">
        <f>IF(ISNUMBER(FIND("±", results!L46)), LEFT(results!L46, FIND("±", results!L46) - 1), results!L46)</f>
        <v xml:space="preserve">3.48 </v>
      </c>
      <c r="P48">
        <f>IF(ISNUMBER(FIND("±", results!M46)), LEFT(results!M46, FIND("±", results!M46) - 1), results!M46)</f>
        <v>0.98</v>
      </c>
    </row>
    <row r="49" spans="4:16" x14ac:dyDescent="0.25">
      <c r="D49" s="3" t="s">
        <v>1037</v>
      </c>
      <c r="E49" t="str">
        <f>IF(ISNUMBER(FIND("±", results!B47)), LEFT(results!B47, FIND("±", results!B47) - 1), results!B47)</f>
        <v xml:space="preserve">105.29 </v>
      </c>
      <c r="F49" t="str">
        <f>IF(ISNUMBER(FIND("±", results!C47)), LEFT(results!C47, FIND("±", results!C47) - 1), results!C47)</f>
        <v xml:space="preserve">2.88 </v>
      </c>
      <c r="G49" t="str">
        <f>IF(ISNUMBER(FIND("±", results!D47)), LEFT(results!D47, FIND("±", results!D47) - 1), results!D47)</f>
        <v xml:space="preserve">2.29 </v>
      </c>
      <c r="H49">
        <f>IF(ISNUMBER(FIND("±", results!E47)), LEFT(results!E47, FIND("±", results!E47) - 1), results!E47)</f>
        <v>1</v>
      </c>
      <c r="I49" t="str">
        <f>IF(ISNUMBER(FIND("±", results!F47)), LEFT(results!F47, FIND("±", results!F47) - 1), results!F47)</f>
        <v xml:space="preserve">107.55 </v>
      </c>
      <c r="J49" t="str">
        <f>IF(ISNUMBER(FIND("±", results!G47)), LEFT(results!G47, FIND("±", results!G47) - 1), results!G47)</f>
        <v xml:space="preserve">0.65 </v>
      </c>
      <c r="K49" t="str">
        <f>IF(ISNUMBER(FIND("±", results!H47)), LEFT(results!H47, FIND("±", results!H47) - 1), results!H47)</f>
        <v xml:space="preserve">3.96 </v>
      </c>
      <c r="L49">
        <f>IF(ISNUMBER(FIND("±", results!I47)), LEFT(results!I47, FIND("±", results!I47) - 1), results!I47)</f>
        <v>1</v>
      </c>
      <c r="M49" s="19" t="str">
        <f>IF(ISNUMBER(FIND("±", results!J47)), LEFT(results!J47, FIND("±", results!J47) - 1), results!J47)</f>
        <v xml:space="preserve">100.61 </v>
      </c>
      <c r="N49" t="str">
        <f>IF(ISNUMBER(FIND("±", results!K47)), LEFT(results!K47, FIND("±", results!K47) - 1), results!K47)</f>
        <v xml:space="preserve">0.94 </v>
      </c>
      <c r="O49" t="str">
        <f>IF(ISNUMBER(FIND("±", results!L47)), LEFT(results!L47, FIND("±", results!L47) - 1), results!L47)</f>
        <v xml:space="preserve">6.97 </v>
      </c>
      <c r="P49">
        <f>IF(ISNUMBER(FIND("±", results!M47)), LEFT(results!M47, FIND("±", results!M47) - 1), results!M47)</f>
        <v>0.98</v>
      </c>
    </row>
    <row r="50" spans="4:16" ht="15.75" thickBot="1" x14ac:dyDescent="0.3">
      <c r="D50" s="4" t="s">
        <v>1038</v>
      </c>
      <c r="E50" t="str">
        <f>IF(ISNUMBER(FIND("±", results!B48)), LEFT(results!B48, FIND("±", results!B48) - 1), results!B48)</f>
        <v xml:space="preserve">165.73 </v>
      </c>
      <c r="F50" t="str">
        <f>IF(ISNUMBER(FIND("±", results!C48)), LEFT(results!C48, FIND("±", results!C48) - 1), results!C48)</f>
        <v xml:space="preserve">3.08 </v>
      </c>
      <c r="G50" t="str">
        <f>IF(ISNUMBER(FIND("±", results!D48)), LEFT(results!D48, FIND("±", results!D48) - 1), results!D48)</f>
        <v xml:space="preserve">6.25 </v>
      </c>
      <c r="H50">
        <f>IF(ISNUMBER(FIND("±", results!E48)), LEFT(results!E48, FIND("±", results!E48) - 1), results!E48)</f>
        <v>1</v>
      </c>
      <c r="I50" t="str">
        <f>IF(ISNUMBER(FIND("±", results!F48)), LEFT(results!F48, FIND("±", results!F48) - 1), results!F48)</f>
        <v xml:space="preserve">188.20 </v>
      </c>
      <c r="J50" t="str">
        <f>IF(ISNUMBER(FIND("±", results!G48)), LEFT(results!G48, FIND("±", results!G48) - 1), results!G48)</f>
        <v xml:space="preserve">0.86 </v>
      </c>
      <c r="K50" t="str">
        <f>IF(ISNUMBER(FIND("±", results!H48)), LEFT(results!H48, FIND("±", results!H48) - 1), results!H48)</f>
        <v xml:space="preserve">12.19 </v>
      </c>
      <c r="L50">
        <f>IF(ISNUMBER(FIND("±", results!I48)), LEFT(results!I48, FIND("±", results!I48) - 1), results!I48)</f>
        <v>1</v>
      </c>
      <c r="M50" s="19" t="str">
        <f>IF(ISNUMBER(FIND("±", results!J48)), LEFT(results!J48, FIND("±", results!J48) - 1), results!J48)</f>
        <v xml:space="preserve">142.84 </v>
      </c>
      <c r="N50" t="str">
        <f>IF(ISNUMBER(FIND("±", results!K48)), LEFT(results!K48, FIND("±", results!K48) - 1), results!K48)</f>
        <v xml:space="preserve">0.76 </v>
      </c>
      <c r="O50" t="str">
        <f>IF(ISNUMBER(FIND("±", results!L48)), LEFT(results!L48, FIND("±", results!L48) - 1), results!L48)</f>
        <v xml:space="preserve">17.85 </v>
      </c>
      <c r="P50">
        <f>IF(ISNUMBER(FIND("±", results!M48)), LEFT(results!M48, FIND("±", results!M48) - 1), results!M48)</f>
        <v>0.98</v>
      </c>
    </row>
    <row r="51" spans="4:16" x14ac:dyDescent="0.25">
      <c r="D51" s="3" t="s">
        <v>1039</v>
      </c>
      <c r="E51" s="19" t="str">
        <f>IF(ISNUMBER(FIND("±", results!B49)), LEFT(results!B49, FIND("±", results!B49) - 1), results!B49)</f>
        <v xml:space="preserve">681.85 </v>
      </c>
      <c r="F51" t="str">
        <f>IF(ISNUMBER(FIND("±", results!C49)), LEFT(results!C49, FIND("±", results!C49) - 1), results!C49)</f>
        <v xml:space="preserve">4.65 </v>
      </c>
      <c r="G51" t="str">
        <f>IF(ISNUMBER(FIND("±", results!D49)), LEFT(results!D49, FIND("±", results!D49) - 1), results!D49)</f>
        <v xml:space="preserve">50.45 </v>
      </c>
      <c r="H51">
        <f>IF(ISNUMBER(FIND("±", results!E49)), LEFT(results!E49, FIND("±", results!E49) - 1), results!E49)</f>
        <v>1</v>
      </c>
      <c r="I51" t="str">
        <f>IF(ISNUMBER(FIND("±", results!F49)), LEFT(results!F49, FIND("±", results!F49) - 1), results!F49)</f>
        <v xml:space="preserve">689.59 </v>
      </c>
      <c r="J51" t="str">
        <f>IF(ISNUMBER(FIND("±", results!G49)), LEFT(results!G49, FIND("±", results!G49) - 1), results!G49)</f>
        <v xml:space="preserve">1.06 </v>
      </c>
      <c r="K51" t="str">
        <f>IF(ISNUMBER(FIND("±", results!H49)), LEFT(results!H49, FIND("±", results!H49) - 1), results!H49)</f>
        <v xml:space="preserve">51.48 </v>
      </c>
      <c r="L51">
        <f>IF(ISNUMBER(FIND("±", results!I49)), LEFT(results!I49, FIND("±", results!I49) - 1), results!I49)</f>
        <v>1</v>
      </c>
      <c r="M51" t="str">
        <f>IF(ISNUMBER(FIND("±", results!J49)), LEFT(results!J49, FIND("±", results!J49) - 1), results!J49)</f>
        <v xml:space="preserve">688.47 </v>
      </c>
      <c r="N51" t="str">
        <f>IF(ISNUMBER(FIND("±", results!K49)), LEFT(results!K49, FIND("±", results!K49) - 1), results!K49)</f>
        <v xml:space="preserve">1.03 </v>
      </c>
      <c r="O51" t="str">
        <f>IF(ISNUMBER(FIND("±", results!L49)), LEFT(results!L49, FIND("±", results!L49) - 1), results!L49)</f>
        <v xml:space="preserve">52.18 </v>
      </c>
      <c r="P51">
        <f>IF(ISNUMBER(FIND("±", results!M49)), LEFT(results!M49, FIND("±", results!M49) - 1), results!M49)</f>
        <v>0.68</v>
      </c>
    </row>
    <row r="52" spans="4:16" x14ac:dyDescent="0.25">
      <c r="D52" s="3" t="s">
        <v>1040</v>
      </c>
      <c r="E52" t="str">
        <f>IF(ISNUMBER(FIND("±", results!B50)), LEFT(results!B50, FIND("±", results!B50) - 1), results!B50)</f>
        <v xml:space="preserve">460.55 </v>
      </c>
      <c r="F52" t="str">
        <f>IF(ISNUMBER(FIND("±", results!C50)), LEFT(results!C50, FIND("±", results!C50) - 1), results!C50)</f>
        <v xml:space="preserve">1.21 </v>
      </c>
      <c r="G52" t="str">
        <f>IF(ISNUMBER(FIND("±", results!D50)), LEFT(results!D50, FIND("±", results!D50) - 1), results!D50)</f>
        <v xml:space="preserve">72.15 </v>
      </c>
      <c r="H52">
        <f>IF(ISNUMBER(FIND("±", results!E50)), LEFT(results!E50, FIND("±", results!E50) - 1), results!E50)</f>
        <v>1</v>
      </c>
      <c r="I52" t="str">
        <f>IF(ISNUMBER(FIND("±", results!F50)), LEFT(results!F50, FIND("±", results!F50) - 1), results!F50)</f>
        <v xml:space="preserve">474.71 </v>
      </c>
      <c r="J52" t="str">
        <f>IF(ISNUMBER(FIND("±", results!G50)), LEFT(results!G50, FIND("±", results!G50) - 1), results!G50)</f>
        <v xml:space="preserve">0.24 </v>
      </c>
      <c r="K52" t="str">
        <f>IF(ISNUMBER(FIND("±", results!H50)), LEFT(results!H50, FIND("±", results!H50) - 1), results!H50)</f>
        <v xml:space="preserve">76.55 </v>
      </c>
      <c r="L52">
        <f>IF(ISNUMBER(FIND("±", results!I50)), LEFT(results!I50, FIND("±", results!I50) - 1), results!I50)</f>
        <v>1</v>
      </c>
      <c r="M52" s="19" t="str">
        <f>IF(ISNUMBER(FIND("±", results!J50)), LEFT(results!J50, FIND("±", results!J50) - 1), results!J50)</f>
        <v xml:space="preserve">397.71 </v>
      </c>
      <c r="N52" t="str">
        <f>IF(ISNUMBER(FIND("±", results!K50)), LEFT(results!K50, FIND("±", results!K50) - 1), results!K50)</f>
        <v xml:space="preserve">0.29 </v>
      </c>
      <c r="O52" t="str">
        <f>IF(ISNUMBER(FIND("±", results!L50)), LEFT(results!L50, FIND("±", results!L50) - 1), results!L50)</f>
        <v xml:space="preserve">63.03 </v>
      </c>
      <c r="P52">
        <f>IF(ISNUMBER(FIND("±", results!M50)), LEFT(results!M50, FIND("±", results!M50) - 1), results!M50)</f>
        <v>0.84</v>
      </c>
    </row>
    <row r="53" spans="4:16" ht="15.75" thickBot="1" x14ac:dyDescent="0.3">
      <c r="D53" s="4" t="s">
        <v>1041</v>
      </c>
      <c r="E53" s="19" t="str">
        <f>IF(ISNUMBER(FIND("±", results!B51)), LEFT(results!B51, FIND("±", results!B51) - 1), results!B51)</f>
        <v xml:space="preserve">874.71 </v>
      </c>
      <c r="F53" t="str">
        <f>IF(ISNUMBER(FIND("±", results!C51)), LEFT(results!C51, FIND("±", results!C51) - 1), results!C51)</f>
        <v xml:space="preserve">2.93 </v>
      </c>
      <c r="G53" t="str">
        <f>IF(ISNUMBER(FIND("±", results!D51)), LEFT(results!D51, FIND("±", results!D51) - 1), results!D51)</f>
        <v xml:space="preserve">157.47 </v>
      </c>
      <c r="H53">
        <f>IF(ISNUMBER(FIND("±", results!E51)), LEFT(results!E51, FIND("±", results!E51) - 1), results!E51)</f>
        <v>1</v>
      </c>
      <c r="I53" t="str">
        <f>IF(ISNUMBER(FIND("±", results!F51)), LEFT(results!F51, FIND("±", results!F51) - 1), results!F51)</f>
        <v xml:space="preserve">938.31 </v>
      </c>
      <c r="J53" t="str">
        <f>IF(ISNUMBER(FIND("±", results!G51)), LEFT(results!G51, FIND("±", results!G51) - 1), results!G51)</f>
        <v xml:space="preserve">0.79 </v>
      </c>
      <c r="K53" t="str">
        <f>IF(ISNUMBER(FIND("±", results!H51)), LEFT(results!H51, FIND("±", results!H51) - 1), results!H51)</f>
        <v xml:space="preserve">171.05 </v>
      </c>
      <c r="L53">
        <f>IF(ISNUMBER(FIND("±", results!I51)), LEFT(results!I51, FIND("±", results!I51) - 1), results!I51)</f>
        <v>1</v>
      </c>
      <c r="M53" t="str">
        <f>IF(ISNUMBER(FIND("±", results!J51)), LEFT(results!J51, FIND("±", results!J51) - 1), results!J51)</f>
        <v xml:space="preserve">901.62 </v>
      </c>
      <c r="N53" t="str">
        <f>IF(ISNUMBER(FIND("±", results!K51)), LEFT(results!K51, FIND("±", results!K51) - 1), results!K51)</f>
        <v xml:space="preserve">0.79 </v>
      </c>
      <c r="O53" t="str">
        <f>IF(ISNUMBER(FIND("±", results!L51)), LEFT(results!L51, FIND("±", results!L51) - 1), results!L51)</f>
        <v xml:space="preserve">170.30 </v>
      </c>
      <c r="P53">
        <f>IF(ISNUMBER(FIND("±", results!M51)), LEFT(results!M51, FIND("±", results!M51) - 1), results!M51)</f>
        <v>0.84</v>
      </c>
    </row>
    <row r="54" spans="4:16" ht="15.75" thickBot="1" x14ac:dyDescent="0.3">
      <c r="D54" s="3" t="s">
        <v>1042</v>
      </c>
      <c r="E54" t="str">
        <f>IF(ISNUMBER(FIND("±", results!B52)), LEFT(results!B52, FIND("±", results!B52) - 1), results!B52)</f>
        <v xml:space="preserve">136.28 </v>
      </c>
      <c r="F54" t="str">
        <f>IF(ISNUMBER(FIND("±", results!C52)), LEFT(results!C52, FIND("±", results!C52) - 1), results!C52)</f>
        <v xml:space="preserve">76.96 </v>
      </c>
      <c r="G54" t="str">
        <f>IF(ISNUMBER(FIND("±", results!D52)), LEFT(results!D52, FIND("±", results!D52) - 1), results!D52)</f>
        <v xml:space="preserve">18.61 </v>
      </c>
      <c r="H54">
        <f>IF(ISNUMBER(FIND("±", results!E52)), LEFT(results!E52, FIND("±", results!E52) - 1), results!E52)</f>
        <v>1</v>
      </c>
      <c r="I54" t="str">
        <f>IF(ISNUMBER(FIND("±", results!F52)), LEFT(results!F52, FIND("±", results!F52) - 1), results!F52)</f>
        <v xml:space="preserve">97.24 </v>
      </c>
      <c r="J54" t="str">
        <f>IF(ISNUMBER(FIND("±", results!G52)), LEFT(results!G52, FIND("±", results!G52) - 1), results!G52)</f>
        <v xml:space="preserve">16.32 </v>
      </c>
      <c r="K54" t="str">
        <f>IF(ISNUMBER(FIND("±", results!H52)), LEFT(results!H52, FIND("±", results!H52) - 1), results!H52)</f>
        <v xml:space="preserve">15.13 </v>
      </c>
      <c r="L54">
        <f>IF(ISNUMBER(FIND("±", results!I52)), LEFT(results!I52, FIND("±", results!I52) - 1), results!I52)</f>
        <v>1</v>
      </c>
      <c r="M54" s="19" t="str">
        <f>IF(ISNUMBER(FIND("±", results!J52)), LEFT(results!J52, FIND("±", results!J52) - 1), results!J52)</f>
        <v xml:space="preserve">85.08 </v>
      </c>
      <c r="N54" t="str">
        <f>IF(ISNUMBER(FIND("±", results!K52)), LEFT(results!K52, FIND("±", results!K52) - 1), results!K52)</f>
        <v xml:space="preserve">15.98 </v>
      </c>
      <c r="O54" t="str">
        <f>IF(ISNUMBER(FIND("±", results!L52)), LEFT(results!L52, FIND("±", results!L52) - 1), results!L52)</f>
        <v xml:space="preserve">9.96 </v>
      </c>
      <c r="P54">
        <f>IF(ISNUMBER(FIND("±", results!M52)), LEFT(results!M52, FIND("±", results!M52) - 1), results!M52)</f>
        <v>1</v>
      </c>
    </row>
    <row r="55" spans="4:16" ht="15.75" thickBot="1" x14ac:dyDescent="0.3">
      <c r="D55" s="8" t="s">
        <v>1043</v>
      </c>
      <c r="E55" t="str">
        <f>IF(ISNUMBER(FIND("±", results!B53)), LEFT(results!B53, FIND("±", results!B53) - 1), results!B53)</f>
        <v xml:space="preserve">28.78 </v>
      </c>
      <c r="F55" t="str">
        <f>IF(ISNUMBER(FIND("±", results!C53)), LEFT(results!C53, FIND("±", results!C53) - 1), results!C53)</f>
        <v xml:space="preserve">12.67 </v>
      </c>
      <c r="G55" t="str">
        <f>IF(ISNUMBER(FIND("±", results!D53)), LEFT(results!D53, FIND("±", results!D53) - 1), results!D53)</f>
        <v xml:space="preserve">0.70 </v>
      </c>
      <c r="H55">
        <f>IF(ISNUMBER(FIND("±", results!E53)), LEFT(results!E53, FIND("±", results!E53) - 1), results!E53)</f>
        <v>1</v>
      </c>
      <c r="I55" s="19" t="str">
        <f>IF(ISNUMBER(FIND("±", results!F53)), LEFT(results!F53, FIND("±", results!F53) - 1), results!F53)</f>
        <v xml:space="preserve">14.91 </v>
      </c>
      <c r="J55" t="str">
        <f>IF(ISNUMBER(FIND("±", results!G53)), LEFT(results!G53, FIND("±", results!G53) - 1), results!G53)</f>
        <v xml:space="preserve">2.93 </v>
      </c>
      <c r="K55" t="str">
        <f>IF(ISNUMBER(FIND("±", results!H53)), LEFT(results!H53, FIND("±", results!H53) - 1), results!H53)</f>
        <v xml:space="preserve">0.38 </v>
      </c>
      <c r="L55">
        <f>IF(ISNUMBER(FIND("±", results!I53)), LEFT(results!I53, FIND("±", results!I53) - 1), results!I53)</f>
        <v>0.9</v>
      </c>
      <c r="M55" t="str">
        <f>IF(ISNUMBER(FIND("±", results!J53)), LEFT(results!J53, FIND("±", results!J53) - 1), results!J53)</f>
        <v xml:space="preserve">15.13 </v>
      </c>
      <c r="N55" t="str">
        <f>IF(ISNUMBER(FIND("±", results!K53)), LEFT(results!K53, FIND("±", results!K53) - 1), results!K53)</f>
        <v xml:space="preserve">3.00 </v>
      </c>
      <c r="O55" t="str">
        <f>IF(ISNUMBER(FIND("±", results!L53)), LEFT(results!L53, FIND("±", results!L53) - 1), results!L53)</f>
        <v xml:space="preserve">0.39 </v>
      </c>
      <c r="P55">
        <f>IF(ISNUMBER(FIND("±", results!M53)), LEFT(results!M53, FIND("±", results!M53) - 1), results!M53)</f>
        <v>0.92</v>
      </c>
    </row>
    <row r="56" spans="4:16" x14ac:dyDescent="0.25">
      <c r="D56" s="2" t="s">
        <v>1044</v>
      </c>
      <c r="E56" t="str">
        <f>IF(ISNUMBER(FIND("±", results!B54)), LEFT(results!B54, FIND("±", results!B54) - 1), results!B54)</f>
        <v xml:space="preserve">175.66 </v>
      </c>
      <c r="F56" t="str">
        <f>IF(ISNUMBER(FIND("±", results!C54)), LEFT(results!C54, FIND("±", results!C54) - 1), results!C54)</f>
        <v xml:space="preserve">141.48 </v>
      </c>
      <c r="G56" t="str">
        <f>IF(ISNUMBER(FIND("±", results!D54)), LEFT(results!D54, FIND("±", results!D54) - 1), results!D54)</f>
        <v xml:space="preserve">6.47 </v>
      </c>
      <c r="H56">
        <f>IF(ISNUMBER(FIND("±", results!E54)), LEFT(results!E54, FIND("±", results!E54) - 1), results!E54)</f>
        <v>1</v>
      </c>
      <c r="I56" t="str">
        <f>IF(ISNUMBER(FIND("±", results!F54)), LEFT(results!F54, FIND("±", results!F54) - 1), results!F54)</f>
        <v xml:space="preserve">96.22 </v>
      </c>
      <c r="J56" t="str">
        <f>IF(ISNUMBER(FIND("±", results!G54)), LEFT(results!G54, FIND("±", results!G54) - 1), results!G54)</f>
        <v xml:space="preserve">27.26 </v>
      </c>
      <c r="K56" t="str">
        <f>IF(ISNUMBER(FIND("±", results!H54)), LEFT(results!H54, FIND("±", results!H54) - 1), results!H54)</f>
        <v xml:space="preserve">3.32 </v>
      </c>
      <c r="L56">
        <f>IF(ISNUMBER(FIND("±", results!I54)), LEFT(results!I54, FIND("±", results!I54) - 1), results!I54)</f>
        <v>1</v>
      </c>
      <c r="M56" s="19" t="str">
        <f>IF(ISNUMBER(FIND("±", results!J54)), LEFT(results!J54, FIND("±", results!J54) - 1), results!J54)</f>
        <v xml:space="preserve">86.98 </v>
      </c>
      <c r="N56" t="str">
        <f>IF(ISNUMBER(FIND("±", results!K54)), LEFT(results!K54, FIND("±", results!K54) - 1), results!K54)</f>
        <v xml:space="preserve">26.16 </v>
      </c>
      <c r="O56" t="str">
        <f>IF(ISNUMBER(FIND("±", results!L54)), LEFT(results!L54, FIND("±", results!L54) - 1), results!L54)</f>
        <v xml:space="preserve">4.11 </v>
      </c>
      <c r="P56">
        <f>IF(ISNUMBER(FIND("±", results!M54)), LEFT(results!M54, FIND("±", results!M54) - 1), results!M54)</f>
        <v>1</v>
      </c>
    </row>
    <row r="57" spans="4:16" ht="15.75" thickBot="1" x14ac:dyDescent="0.3">
      <c r="D57" s="4" t="s">
        <v>1045</v>
      </c>
      <c r="E57" t="str">
        <f>IF(ISNUMBER(FIND("±", results!B55)), LEFT(results!B55, FIND("±", results!B55) - 1), results!B55)</f>
        <v xml:space="preserve">748.22 </v>
      </c>
      <c r="F57" t="str">
        <f>IF(ISNUMBER(FIND("±", results!C55)), LEFT(results!C55, FIND("±", results!C55) - 1), results!C55)</f>
        <v xml:space="preserve">666.18 </v>
      </c>
      <c r="G57" t="str">
        <f>IF(ISNUMBER(FIND("±", results!D55)), LEFT(results!D55, FIND("±", results!D55) - 1), results!D55)</f>
        <v xml:space="preserve">266.56 </v>
      </c>
      <c r="H57">
        <f>IF(ISNUMBER(FIND("±", results!E55)), LEFT(results!E55, FIND("±", results!E55) - 1), results!E55)</f>
        <v>1</v>
      </c>
      <c r="I57" t="str">
        <f>IF(ISNUMBER(FIND("±", results!F55)), LEFT(results!F55, FIND("±", results!F55) - 1), results!F55)</f>
        <v xml:space="preserve">425.86 </v>
      </c>
      <c r="J57" t="str">
        <f>IF(ISNUMBER(FIND("±", results!G55)), LEFT(results!G55, FIND("±", results!G55) - 1), results!G55)</f>
        <v xml:space="preserve">125.38 </v>
      </c>
      <c r="K57" t="str">
        <f>IF(ISNUMBER(FIND("±", results!H55)), LEFT(results!H55, FIND("±", results!H55) - 1), results!H55)</f>
        <v xml:space="preserve">92.98 </v>
      </c>
      <c r="L57">
        <f>IF(ISNUMBER(FIND("±", results!I55)), LEFT(results!I55, FIND("±", results!I55) - 1), results!I55)</f>
        <v>1</v>
      </c>
      <c r="M57" s="19" t="str">
        <f>IF(ISNUMBER(FIND("±", results!J55)), LEFT(results!J55, FIND("±", results!J55) - 1), results!J55)</f>
        <v xml:space="preserve">356.50 </v>
      </c>
      <c r="N57" t="str">
        <f>IF(ISNUMBER(FIND("±", results!K55)), LEFT(results!K55, FIND("±", results!K55) - 1), results!K55)</f>
        <v xml:space="preserve">122.14 </v>
      </c>
      <c r="O57" t="str">
        <f>IF(ISNUMBER(FIND("±", results!L55)), LEFT(results!L55, FIND("±", results!L55) - 1), results!L55)</f>
        <v xml:space="preserve">104.13 </v>
      </c>
      <c r="P57">
        <f>IF(ISNUMBER(FIND("±", results!M55)), LEFT(results!M55, FIND("±", results!M55) - 1), results!M55)</f>
        <v>1</v>
      </c>
    </row>
    <row r="58" spans="4:16" x14ac:dyDescent="0.25">
      <c r="D58" s="2" t="s">
        <v>1046</v>
      </c>
      <c r="E58" s="19" t="str">
        <f>IF(ISNUMBER(FIND("±", results!B56)), LEFT(results!B56, FIND("±", results!B56) - 1), results!B56)</f>
        <v xml:space="preserve">88.15 </v>
      </c>
      <c r="F58" t="str">
        <f>IF(ISNUMBER(FIND("±", results!C56)), LEFT(results!C56, FIND("±", results!C56) - 1), results!C56)</f>
        <v xml:space="preserve">35.78 </v>
      </c>
      <c r="G58" t="str">
        <f>IF(ISNUMBER(FIND("±", results!D56)), LEFT(results!D56, FIND("±", results!D56) - 1), results!D56)</f>
        <v xml:space="preserve">5.24 </v>
      </c>
      <c r="H58">
        <f>IF(ISNUMBER(FIND("±", results!E56)), LEFT(results!E56, FIND("±", results!E56) - 1), results!E56)</f>
        <v>1</v>
      </c>
      <c r="I58" t="str">
        <f>IF(ISNUMBER(FIND("±", results!F56)), LEFT(results!F56, FIND("±", results!F56) - 1), results!F56)</f>
        <v xml:space="preserve">98.76 </v>
      </c>
      <c r="J58" t="str">
        <f>IF(ISNUMBER(FIND("±", results!G56)), LEFT(results!G56, FIND("±", results!G56) - 1), results!G56)</f>
        <v xml:space="preserve">16.39 </v>
      </c>
      <c r="K58" t="str">
        <f>IF(ISNUMBER(FIND("±", results!H56)), LEFT(results!H56, FIND("±", results!H56) - 1), results!H56)</f>
        <v xml:space="preserve">4.17 </v>
      </c>
      <c r="L58">
        <f>IF(ISNUMBER(FIND("±", results!I56)), LEFT(results!I56, FIND("±", results!I56) - 1), results!I56)</f>
        <v>1</v>
      </c>
      <c r="M58" t="str">
        <f>IF(ISNUMBER(FIND("±", results!J56)), LEFT(results!J56, FIND("±", results!J56) - 1), results!J56)</f>
        <v xml:space="preserve">100.83 </v>
      </c>
      <c r="N58" t="str">
        <f>IF(ISNUMBER(FIND("±", results!K56)), LEFT(results!K56, FIND("±", results!K56) - 1), results!K56)</f>
        <v xml:space="preserve">16.39 </v>
      </c>
      <c r="O58" t="str">
        <f>IF(ISNUMBER(FIND("±", results!L56)), LEFT(results!L56, FIND("±", results!L56) - 1), results!L56)</f>
        <v xml:space="preserve">4.78 </v>
      </c>
      <c r="P58">
        <f>IF(ISNUMBER(FIND("±", results!M56)), LEFT(results!M56, FIND("±", results!M56) - 1), results!M56)</f>
        <v>0.92</v>
      </c>
    </row>
    <row r="59" spans="4:16" ht="15.75" thickBot="1" x14ac:dyDescent="0.3">
      <c r="D59" s="4" t="s">
        <v>1047</v>
      </c>
      <c r="E59" s="19" t="str">
        <f>IF(ISNUMBER(FIND("±", results!B57)), LEFT(results!B57, FIND("±", results!B57) - 1), results!B57)</f>
        <v xml:space="preserve">166.43 </v>
      </c>
      <c r="F59" t="str">
        <f>IF(ISNUMBER(FIND("±", results!C57)), LEFT(results!C57, FIND("±", results!C57) - 1), results!C57)</f>
        <v xml:space="preserve">71.64 </v>
      </c>
      <c r="G59" t="str">
        <f>IF(ISNUMBER(FIND("±", results!D57)), LEFT(results!D57, FIND("±", results!D57) - 1), results!D57)</f>
        <v xml:space="preserve">45.70 </v>
      </c>
      <c r="H59">
        <f>IF(ISNUMBER(FIND("±", results!E57)), LEFT(results!E57, FIND("±", results!E57) - 1), results!E57)</f>
        <v>1</v>
      </c>
      <c r="I59" t="str">
        <f>IF(ISNUMBER(FIND("±", results!F57)), LEFT(results!F57, FIND("±", results!F57) - 1), results!F57)</f>
        <v xml:space="preserve">186.86 </v>
      </c>
      <c r="J59" t="str">
        <f>IF(ISNUMBER(FIND("±", results!G57)), LEFT(results!G57, FIND("±", results!G57) - 1), results!G57)</f>
        <v xml:space="preserve">36.30 </v>
      </c>
      <c r="K59" t="str">
        <f>IF(ISNUMBER(FIND("±", results!H57)), LEFT(results!H57, FIND("±", results!H57) - 1), results!H57)</f>
        <v xml:space="preserve">32.39 </v>
      </c>
      <c r="L59">
        <f>IF(ISNUMBER(FIND("±", results!I57)), LEFT(results!I57, FIND("±", results!I57) - 1), results!I57)</f>
        <v>1</v>
      </c>
      <c r="M59" t="str">
        <f>IF(ISNUMBER(FIND("±", results!J57)), LEFT(results!J57, FIND("±", results!J57) - 1), results!J57)</f>
        <v xml:space="preserve">183.80 </v>
      </c>
      <c r="N59" t="str">
        <f>IF(ISNUMBER(FIND("±", results!K57)), LEFT(results!K57, FIND("±", results!K57) - 1), results!K57)</f>
        <v xml:space="preserve">36.30 </v>
      </c>
      <c r="O59" t="str">
        <f>IF(ISNUMBER(FIND("±", results!L57)), LEFT(results!L57, FIND("±", results!L57) - 1), results!L57)</f>
        <v xml:space="preserve">35.55 </v>
      </c>
      <c r="P59">
        <f>IF(ISNUMBER(FIND("±", results!M57)), LEFT(results!M57, FIND("±", results!M57) - 1), results!M57)</f>
        <v>0.88</v>
      </c>
    </row>
    <row r="62" spans="4:16" ht="15.75" thickBot="1" x14ac:dyDescent="0.3"/>
    <row r="63" spans="4:16" ht="15.75" thickBot="1" x14ac:dyDescent="0.3">
      <c r="D63" s="217" t="s">
        <v>1034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5"/>
    </row>
    <row r="64" spans="4:16" x14ac:dyDescent="0.25">
      <c r="D64" s="222" t="s">
        <v>1035</v>
      </c>
      <c r="E64" s="220" t="s">
        <v>46</v>
      </c>
      <c r="F64" s="221"/>
      <c r="G64" s="221"/>
      <c r="H64" s="221"/>
      <c r="I64" s="214" t="s">
        <v>32</v>
      </c>
      <c r="J64" s="216"/>
      <c r="K64" s="216"/>
      <c r="L64" s="215"/>
      <c r="M64" s="216" t="s">
        <v>41</v>
      </c>
      <c r="N64" s="216"/>
      <c r="O64" s="216"/>
      <c r="P64" s="215"/>
    </row>
    <row r="65" spans="4:16" ht="15.75" thickBot="1" x14ac:dyDescent="0.3">
      <c r="D65" s="223"/>
      <c r="E65" s="4" t="s">
        <v>47</v>
      </c>
      <c r="F65" s="15" t="s">
        <v>1048</v>
      </c>
      <c r="G65" s="15" t="s">
        <v>48</v>
      </c>
      <c r="H65" s="15" t="s">
        <v>621</v>
      </c>
      <c r="I65" s="4" t="s">
        <v>47</v>
      </c>
      <c r="J65" s="15" t="s">
        <v>1048</v>
      </c>
      <c r="K65" s="15" t="s">
        <v>48</v>
      </c>
      <c r="L65" s="7" t="s">
        <v>621</v>
      </c>
      <c r="M65" s="15" t="s">
        <v>47</v>
      </c>
      <c r="N65" s="15" t="s">
        <v>1048</v>
      </c>
      <c r="O65" s="15" t="s">
        <v>48</v>
      </c>
      <c r="P65" s="7" t="s">
        <v>621</v>
      </c>
    </row>
    <row r="66" spans="4:16" x14ac:dyDescent="0.25">
      <c r="D66" s="2" t="s">
        <v>1036</v>
      </c>
      <c r="E66" s="19" t="str">
        <f>IF(ISNUMBER(FIND("±", results!B64)), LEFT(results!B64, FIND("±", results!B64) - 1), results!B64)</f>
        <v xml:space="preserve">93.62 </v>
      </c>
      <c r="F66" t="str">
        <f>IF(ISNUMBER(FIND("±", results!C64)), LEFT(results!C64, FIND("±", results!C64) - 1), results!C64)</f>
        <v xml:space="preserve">2.19 </v>
      </c>
      <c r="G66" t="str">
        <f>IF(ISNUMBER(FIND("±", results!D64)), LEFT(results!D64, FIND("±", results!D64) - 1), results!D64)</f>
        <v xml:space="preserve">0.91 </v>
      </c>
      <c r="H66" t="str">
        <f>IF(ISNUMBER(FIND("±", results!E64)), LEFT(results!E64, FIND("±", results!E64) - 1), results!E64)</f>
        <v>1.00</v>
      </c>
      <c r="I66" t="str">
        <f>IF(ISNUMBER(FIND("±", results!F64)), LEFT(results!F64, FIND("±", results!F64) - 1), results!F64)</f>
        <v xml:space="preserve">118.49 </v>
      </c>
      <c r="J66" t="str">
        <f>IF(ISNUMBER(FIND("±", results!G64)), LEFT(results!G64, FIND("±", results!G64) - 1), results!G64)</f>
        <v xml:space="preserve">1.70 </v>
      </c>
      <c r="K66" t="str">
        <f>IF(ISNUMBER(FIND("±", results!H64)), LEFT(results!H64, FIND("±", results!H64) - 1), results!H64)</f>
        <v xml:space="preserve">2.51 </v>
      </c>
      <c r="L66" t="str">
        <f>IF(ISNUMBER(FIND("±", results!I64)), LEFT(results!I64, FIND("±", results!I64) - 1), results!I64)</f>
        <v>1.00</v>
      </c>
      <c r="M66" t="str">
        <f>IF(ISNUMBER(FIND("±", results!J64)), LEFT(results!J64, FIND("±", results!J64) - 1), results!J64)</f>
        <v xml:space="preserve">100.64 </v>
      </c>
      <c r="N66" t="str">
        <f>IF(ISNUMBER(FIND("±", results!K64)), LEFT(results!K64, FIND("±", results!K64) - 1), results!K64)</f>
        <v xml:space="preserve">2.17 </v>
      </c>
      <c r="O66" t="str">
        <f>IF(ISNUMBER(FIND("±", results!L64)), LEFT(results!L64, FIND("±", results!L64) - 1), results!L64)</f>
        <v xml:space="preserve">3.84 </v>
      </c>
      <c r="P66" t="str">
        <f>IF(ISNUMBER(FIND("±", results!M64)), LEFT(results!M64, FIND("±", results!M64) - 1), results!M64)</f>
        <v>0.94</v>
      </c>
    </row>
    <row r="67" spans="4:16" x14ac:dyDescent="0.25">
      <c r="D67" s="3" t="s">
        <v>1037</v>
      </c>
      <c r="E67" s="19" t="str">
        <f>IF(ISNUMBER(FIND("±", results!B65)), LEFT(results!B65, FIND("±", results!B65) - 1), results!B65)</f>
        <v xml:space="preserve">107.62 </v>
      </c>
      <c r="F67" t="str">
        <f>IF(ISNUMBER(FIND("±", results!C65)), LEFT(results!C65, FIND("±", results!C65) - 1), results!C65)</f>
        <v xml:space="preserve">3.16 </v>
      </c>
      <c r="G67" t="str">
        <f>IF(ISNUMBER(FIND("±", results!D65)), LEFT(results!D65, FIND("±", results!D65) - 1), results!D65)</f>
        <v xml:space="preserve">1.38 </v>
      </c>
      <c r="H67" t="str">
        <f>IF(ISNUMBER(FIND("±", results!E65)), LEFT(results!E65, FIND("±", results!E65) - 1), results!E65)</f>
        <v>1.00</v>
      </c>
      <c r="I67" t="str">
        <f>IF(ISNUMBER(FIND("±", results!F65)), LEFT(results!F65, FIND("±", results!F65) - 1), results!F65)</f>
        <v xml:space="preserve">134.24 </v>
      </c>
      <c r="J67" t="str">
        <f>IF(ISNUMBER(FIND("±", results!G65)), LEFT(results!G65, FIND("±", results!G65) - 1), results!G65)</f>
        <v xml:space="preserve">2.19 </v>
      </c>
      <c r="K67" t="str">
        <f>IF(ISNUMBER(FIND("±", results!H65)), LEFT(results!H65, FIND("±", results!H65) - 1), results!H65)</f>
        <v xml:space="preserve">4.02 </v>
      </c>
      <c r="L67" t="str">
        <f>IF(ISNUMBER(FIND("±", results!I65)), LEFT(results!I65, FIND("±", results!I65) - 1), results!I65)</f>
        <v>1.00</v>
      </c>
      <c r="M67" t="str">
        <f>IF(ISNUMBER(FIND("±", results!J65)), LEFT(results!J65, FIND("±", results!J65) - 1), results!J65)</f>
        <v xml:space="preserve">119.43 </v>
      </c>
      <c r="N67" t="str">
        <f>IF(ISNUMBER(FIND("±", results!K65)), LEFT(results!K65, FIND("±", results!K65) - 1), results!K65)</f>
        <v xml:space="preserve">3.11 </v>
      </c>
      <c r="O67" t="str">
        <f>IF(ISNUMBER(FIND("±", results!L65)), LEFT(results!L65, FIND("±", results!L65) - 1), results!L65)</f>
        <v xml:space="preserve">7.06 </v>
      </c>
      <c r="P67" t="str">
        <f>IF(ISNUMBER(FIND("±", results!M65)), LEFT(results!M65, FIND("±", results!M65) - 1), results!M65)</f>
        <v>0.74</v>
      </c>
    </row>
    <row r="68" spans="4:16" ht="15.75" thickBot="1" x14ac:dyDescent="0.3">
      <c r="D68" s="4" t="s">
        <v>1038</v>
      </c>
      <c r="E68" t="str">
        <f>IF(ISNUMBER(FIND("±", results!B66)), LEFT(results!B66, FIND("±", results!B66) - 1), results!B66)</f>
        <v xml:space="preserve">166.86 </v>
      </c>
      <c r="F68" t="str">
        <f>IF(ISNUMBER(FIND("±", results!C66)), LEFT(results!C66, FIND("±", results!C66) - 1), results!C66)</f>
        <v xml:space="preserve">3.27 </v>
      </c>
      <c r="G68" t="str">
        <f>IF(ISNUMBER(FIND("±", results!D66)), LEFT(results!D66, FIND("±", results!D66) - 1), results!D66)</f>
        <v xml:space="preserve">3.99 </v>
      </c>
      <c r="H68" t="str">
        <f>IF(ISNUMBER(FIND("±", results!E66)), LEFT(results!E66, FIND("±", results!E66) - 1), results!E66)</f>
        <v>1.00</v>
      </c>
      <c r="I68" t="str">
        <f>IF(ISNUMBER(FIND("±", results!F66)), LEFT(results!F66, FIND("±", results!F66) - 1), results!F66)</f>
        <v xml:space="preserve">209.05 </v>
      </c>
      <c r="J68" t="str">
        <f>IF(ISNUMBER(FIND("±", results!G66)), LEFT(results!G66, FIND("±", results!G66) - 1), results!G66)</f>
        <v xml:space="preserve">2.05 </v>
      </c>
      <c r="K68" t="str">
        <f>IF(ISNUMBER(FIND("±", results!H66)), LEFT(results!H66, FIND("±", results!H66) - 1), results!H66)</f>
        <v xml:space="preserve">11.44 </v>
      </c>
      <c r="L68" t="str">
        <f>IF(ISNUMBER(FIND("±", results!I66)), LEFT(results!I66, FIND("±", results!I66) - 1), results!I66)</f>
        <v>1.00</v>
      </c>
      <c r="M68" s="19" t="str">
        <f>IF(ISNUMBER(FIND("±", results!J66)), LEFT(results!J66, FIND("±", results!J66) - 1), results!J66)</f>
        <v xml:space="preserve">151.95 </v>
      </c>
      <c r="N68" t="str">
        <f>IF(ISNUMBER(FIND("±", results!K66)), LEFT(results!K66, FIND("±", results!K66) - 1), results!K66)</f>
        <v xml:space="preserve">3.05 </v>
      </c>
      <c r="O68" t="str">
        <f>IF(ISNUMBER(FIND("±", results!L66)), LEFT(results!L66, FIND("±", results!L66) - 1), results!L66)</f>
        <v xml:space="preserve">19.53 </v>
      </c>
      <c r="P68" t="str">
        <f>IF(ISNUMBER(FIND("±", results!M66)), LEFT(results!M66, FIND("±", results!M66) - 1), results!M66)</f>
        <v>0.44</v>
      </c>
    </row>
    <row r="69" spans="4:16" x14ac:dyDescent="0.25">
      <c r="D69" s="3" t="s">
        <v>1039</v>
      </c>
      <c r="E69" s="19" t="str">
        <f>IF(ISNUMBER(FIND("±", results!B67)), LEFT(results!B67, FIND("±", results!B67) - 1), results!B67)</f>
        <v xml:space="preserve">736.55 </v>
      </c>
      <c r="F69" t="str">
        <f>IF(ISNUMBER(FIND("±", results!C67)), LEFT(results!C67, FIND("±", results!C67) - 1), results!C67)</f>
        <v xml:space="preserve">3.70 </v>
      </c>
      <c r="G69" t="str">
        <f>IF(ISNUMBER(FIND("±", results!D67)), LEFT(results!D67, FIND("±", results!D67) - 1), results!D67)</f>
        <v xml:space="preserve">54.01 </v>
      </c>
      <c r="H69" t="str">
        <f>IF(ISNUMBER(FIND("±", results!E67)), LEFT(results!E67, FIND("±", results!E67) - 1), results!E67)</f>
        <v>1.00</v>
      </c>
      <c r="I69" t="str">
        <f>IF(ISNUMBER(FIND("±", results!F67)), LEFT(results!F67, FIND("±", results!F67) - 1), results!F67)</f>
        <v xml:space="preserve">729.90 </v>
      </c>
      <c r="J69" t="str">
        <f>IF(ISNUMBER(FIND("±", results!G67)), LEFT(results!G67, FIND("±", results!G67) - 1), results!G67)</f>
        <v xml:space="preserve">3.60 </v>
      </c>
      <c r="K69" t="str">
        <f>IF(ISNUMBER(FIND("±", results!H67)), LEFT(results!H67, FIND("±", results!H67) - 1), results!H67)</f>
        <v xml:space="preserve">53.60 </v>
      </c>
      <c r="L69" t="str">
        <f>IF(ISNUMBER(FIND("±", results!I67)), LEFT(results!I67, FIND("±", results!I67) - 1), results!I67)</f>
        <v>1.00</v>
      </c>
      <c r="M69" t="str">
        <f>IF(ISNUMBER(FIND("±", results!J67)), LEFT(results!J67, FIND("±", results!J67) - 1), results!J67)</f>
        <v xml:space="preserve">738.80 </v>
      </c>
      <c r="N69" t="str">
        <f>IF(ISNUMBER(FIND("±", results!K67)), LEFT(results!K67, FIND("±", results!K67) - 1), results!K67)</f>
        <v xml:space="preserve">3.70 </v>
      </c>
      <c r="O69" t="str">
        <f>IF(ISNUMBER(FIND("±", results!L67)), LEFT(results!L67, FIND("±", results!L67) - 1), results!L67)</f>
        <v xml:space="preserve">55.70 </v>
      </c>
      <c r="P69" t="str">
        <f>IF(ISNUMBER(FIND("±", results!M67)), LEFT(results!M67, FIND("±", results!M67) - 1), results!M67)</f>
        <v>0.40</v>
      </c>
    </row>
    <row r="70" spans="4:16" x14ac:dyDescent="0.25">
      <c r="D70" s="3" t="s">
        <v>1040</v>
      </c>
      <c r="E70" s="19" t="str">
        <f>IF(ISNUMBER(FIND("±", results!B68)), LEFT(results!B68, FIND("±", results!B68) - 1), results!B68)</f>
        <v xml:space="preserve">442.12 </v>
      </c>
      <c r="F70" t="str">
        <f>IF(ISNUMBER(FIND("±", results!C68)), LEFT(results!C68, FIND("±", results!C68) - 1), results!C68)</f>
        <v xml:space="preserve">1.59 </v>
      </c>
      <c r="G70" t="str">
        <f>IF(ISNUMBER(FIND("±", results!D68)), LEFT(results!D68, FIND("±", results!D68) - 1), results!D68)</f>
        <v xml:space="preserve">65.77 </v>
      </c>
      <c r="H70" t="str">
        <f>IF(ISNUMBER(FIND("±", results!E68)), LEFT(results!E68, FIND("±", results!E68) - 1), results!E68)</f>
        <v>1.00</v>
      </c>
      <c r="I70" t="str">
        <f>IF(ISNUMBER(FIND("±", results!F68)), LEFT(results!F68, FIND("±", results!F68) - 1), results!F68)</f>
        <v xml:space="preserve">482.65 </v>
      </c>
      <c r="J70" t="str">
        <f>IF(ISNUMBER(FIND("±", results!G68)), LEFT(results!G68, FIND("±", results!G68) - 1), results!G68)</f>
        <v xml:space="preserve">1.84 </v>
      </c>
      <c r="K70" t="str">
        <f>IF(ISNUMBER(FIND("±", results!H68)), LEFT(results!H68, FIND("±", results!H68) - 1), results!H68)</f>
        <v xml:space="preserve">75.94 </v>
      </c>
      <c r="L70" t="str">
        <f>IF(ISNUMBER(FIND("±", results!I68)), LEFT(results!I68, FIND("±", results!I68) - 1), results!I68)</f>
        <v>1.00</v>
      </c>
      <c r="M70" t="str">
        <f>IF(ISNUMBER(FIND("±", results!J68)), LEFT(results!J68, FIND("±", results!J68) - 1), results!J68)</f>
        <v xml:space="preserve">479.37 </v>
      </c>
      <c r="N70" t="str">
        <f>IF(ISNUMBER(FIND("±", results!K68)), LEFT(results!K68, FIND("±", results!K68) - 1), results!K68)</f>
        <v xml:space="preserve">1.84 </v>
      </c>
      <c r="O70" t="str">
        <f>IF(ISNUMBER(FIND("±", results!L68)), LEFT(results!L68, FIND("±", results!L68) - 1), results!L68)</f>
        <v xml:space="preserve">74.20 </v>
      </c>
      <c r="P70" t="str">
        <f>IF(ISNUMBER(FIND("±", results!M68)), LEFT(results!M68, FIND("±", results!M68) - 1), results!M68)</f>
        <v>0.98</v>
      </c>
    </row>
    <row r="71" spans="4:16" ht="15.75" thickBot="1" x14ac:dyDescent="0.3">
      <c r="D71" s="4" t="s">
        <v>1041</v>
      </c>
      <c r="E71" s="19" t="str">
        <f>IF(ISNUMBER(FIND("±", results!B69)), LEFT(results!B69, FIND("±", results!B69) - 1), results!B69)</f>
        <v xml:space="preserve">872.54 </v>
      </c>
      <c r="F71" t="str">
        <f>IF(ISNUMBER(FIND("±", results!C69)), LEFT(results!C69, FIND("±", results!C69) - 1), results!C69)</f>
        <v xml:space="preserve">2.43 </v>
      </c>
      <c r="G71" t="str">
        <f>IF(ISNUMBER(FIND("±", results!D69)), LEFT(results!D69, FIND("±", results!D69) - 1), results!D69)</f>
        <v xml:space="preserve">155.70 </v>
      </c>
      <c r="H71" t="str">
        <f>IF(ISNUMBER(FIND("±", results!E69)), LEFT(results!E69, FIND("±", results!E69) - 1), results!E69)</f>
        <v>1.00</v>
      </c>
      <c r="I71" t="str">
        <f>IF(ISNUMBER(FIND("±", results!F69)), LEFT(results!F69, FIND("±", results!F69) - 1), results!F69)</f>
        <v xml:space="preserve">1005.25 </v>
      </c>
      <c r="J71" t="str">
        <f>IF(ISNUMBER(FIND("±", results!G69)), LEFT(results!G69, FIND("±", results!G69) - 1), results!G69)</f>
        <v xml:space="preserve">2.82 </v>
      </c>
      <c r="K71" t="str">
        <f>IF(ISNUMBER(FIND("±", results!H69)), LEFT(results!H69, FIND("±", results!H69) - 1), results!H69)</f>
        <v xml:space="preserve">187.35 </v>
      </c>
      <c r="L71" t="str">
        <f>IF(ISNUMBER(FIND("±", results!I69)), LEFT(results!I69, FIND("±", results!I69) - 1), results!I69)</f>
        <v>1.00</v>
      </c>
      <c r="M71" t="str">
        <f>IF(ISNUMBER(FIND("±", results!J69)), LEFT(results!J69, FIND("±", results!J69) - 1), results!J69)</f>
        <v xml:space="preserve">1003.36 </v>
      </c>
      <c r="N71" t="str">
        <f>IF(ISNUMBER(FIND("±", results!K69)), LEFT(results!K69, FIND("±", results!K69) - 1), results!K69)</f>
        <v xml:space="preserve">2.89 </v>
      </c>
      <c r="O71" t="str">
        <f>IF(ISNUMBER(FIND("±", results!L69)), LEFT(results!L69, FIND("±", results!L69) - 1), results!L69)</f>
        <v xml:space="preserve">189.53 </v>
      </c>
      <c r="P71" t="str">
        <f>IF(ISNUMBER(FIND("±", results!M69)), LEFT(results!M69, FIND("±", results!M69) - 1), results!M69)</f>
        <v>0.56</v>
      </c>
    </row>
    <row r="72" spans="4:16" ht="15.75" thickBot="1" x14ac:dyDescent="0.3">
      <c r="D72" s="3" t="s">
        <v>1042</v>
      </c>
      <c r="E72" t="str">
        <f>IF(ISNUMBER(FIND("±", results!B70)), LEFT(results!B70, FIND("±", results!B70) - 1), results!B70)</f>
        <v xml:space="preserve">135.82 </v>
      </c>
      <c r="F72" t="str">
        <f>IF(ISNUMBER(FIND("±", results!C70)), LEFT(results!C70, FIND("±", results!C70) - 1), results!C70)</f>
        <v xml:space="preserve">76.44 </v>
      </c>
      <c r="G72" t="str">
        <f>IF(ISNUMBER(FIND("±", results!D70)), LEFT(results!D70, FIND("±", results!D70) - 1), results!D70)</f>
        <v xml:space="preserve">12.37 </v>
      </c>
      <c r="H72" t="str">
        <f>IF(ISNUMBER(FIND("±", results!E70)), LEFT(results!E70, FIND("±", results!E70) - 1), results!E70)</f>
        <v>1.00</v>
      </c>
      <c r="I72" t="str">
        <f>IF(ISNUMBER(FIND("±", results!F70)), LEFT(results!F70, FIND("±", results!F70) - 1), results!F70)</f>
        <v xml:space="preserve">137.72 </v>
      </c>
      <c r="J72" t="str">
        <f>IF(ISNUMBER(FIND("±", results!G70)), LEFT(results!G70, FIND("±", results!G70) - 1), results!G70)</f>
        <v xml:space="preserve">59.86 </v>
      </c>
      <c r="K72" t="str">
        <f>IF(ISNUMBER(FIND("±", results!H70)), LEFT(results!H70, FIND("±", results!H70) - 1), results!H70)</f>
        <v xml:space="preserve">15.57 </v>
      </c>
      <c r="L72" t="str">
        <f>IF(ISNUMBER(FIND("±", results!I70)), LEFT(results!I70, FIND("±", results!I70) - 1), results!I70)</f>
        <v>0.96</v>
      </c>
      <c r="M72" s="19" t="str">
        <f>IF(ISNUMBER(FIND("±", results!J70)), LEFT(results!J70, FIND("±", results!J70) - 1), results!J70)</f>
        <v xml:space="preserve">131.00 </v>
      </c>
      <c r="N72" t="str">
        <f>IF(ISNUMBER(FIND("±", results!K70)), LEFT(results!K70, FIND("±", results!K70) - 1), results!K70)</f>
        <v xml:space="preserve">58.40 </v>
      </c>
      <c r="O72" t="str">
        <f>IF(ISNUMBER(FIND("±", results!L70)), LEFT(results!L70, FIND("±", results!L70) - 1), results!L70)</f>
        <v xml:space="preserve">13.22 </v>
      </c>
      <c r="P72" t="str">
        <f>IF(ISNUMBER(FIND("±", results!M70)), LEFT(results!M70, FIND("±", results!M70) - 1), results!M70)</f>
        <v>0.96</v>
      </c>
    </row>
    <row r="73" spans="4:16" ht="15.75" thickBot="1" x14ac:dyDescent="0.3">
      <c r="D73" s="8" t="s">
        <v>1043</v>
      </c>
      <c r="E73" t="str">
        <f>IF(ISNUMBER(FIND("±", results!B71)), LEFT(results!B71, FIND("±", results!B71) - 1), results!B71)</f>
        <v xml:space="preserve">28.73 </v>
      </c>
      <c r="F73" t="str">
        <f>IF(ISNUMBER(FIND("±", results!C71)), LEFT(results!C71, FIND("±", results!C71) - 1), results!C71)</f>
        <v xml:space="preserve">12.46 </v>
      </c>
      <c r="G73" t="str">
        <f>IF(ISNUMBER(FIND("±", results!D71)), LEFT(results!D71, FIND("±", results!D71) - 1), results!D71)</f>
        <v xml:space="preserve">0.70 </v>
      </c>
      <c r="H73" t="str">
        <f>IF(ISNUMBER(FIND("±", results!E71)), LEFT(results!E71, FIND("±", results!E71) - 1), results!E71)</f>
        <v>1.00</v>
      </c>
      <c r="I73" t="str">
        <f>IF(ISNUMBER(FIND("±", results!F71)), LEFT(results!F71, FIND("±", results!F71) - 1), results!F71)</f>
        <v xml:space="preserve">27.90 </v>
      </c>
      <c r="J73" t="str">
        <f>IF(ISNUMBER(FIND("±", results!G71)), LEFT(results!G71, FIND("±", results!G71) - 1), results!G71)</f>
        <v xml:space="preserve">11.08 </v>
      </c>
      <c r="K73" t="str">
        <f>IF(ISNUMBER(FIND("±", results!H71)), LEFT(results!H71, FIND("±", results!H71) - 1), results!H71)</f>
        <v xml:space="preserve">0.73 </v>
      </c>
      <c r="L73" t="str">
        <f>IF(ISNUMBER(FIND("±", results!I71)), LEFT(results!I71, FIND("±", results!I71) - 1), results!I71)</f>
        <v>1.00</v>
      </c>
      <c r="M73" s="19" t="str">
        <f>IF(ISNUMBER(FIND("±", results!J71)), LEFT(results!J71, FIND("±", results!J71) - 1), results!J71)</f>
        <v xml:space="preserve">27.81 </v>
      </c>
      <c r="N73" t="str">
        <f>IF(ISNUMBER(FIND("±", results!K71)), LEFT(results!K71, FIND("±", results!K71) - 1), results!K71)</f>
        <v xml:space="preserve">11.08 </v>
      </c>
      <c r="O73" t="str">
        <f>IF(ISNUMBER(FIND("±", results!L71)), LEFT(results!L71, FIND("±", results!L71) - 1), results!L71)</f>
        <v xml:space="preserve">0.77 </v>
      </c>
      <c r="P73" t="str">
        <f>IF(ISNUMBER(FIND("±", results!M71)), LEFT(results!M71, FIND("±", results!M71) - 1), results!M71)</f>
        <v>1.00</v>
      </c>
    </row>
    <row r="74" spans="4:16" x14ac:dyDescent="0.25">
      <c r="D74" s="2" t="s">
        <v>1044</v>
      </c>
      <c r="E74" s="19" t="str">
        <f>IF(ISNUMBER(FIND("±", results!B72)), LEFT(results!B72, FIND("±", results!B72) - 1), results!B72)</f>
        <v xml:space="preserve">167.51 </v>
      </c>
      <c r="F74" t="str">
        <f>IF(ISNUMBER(FIND("±", results!C72)), LEFT(results!C72, FIND("±", results!C72) - 1), results!C72)</f>
        <v xml:space="preserve">133.94 </v>
      </c>
      <c r="G74" t="str">
        <f>IF(ISNUMBER(FIND("±", results!D72)), LEFT(results!D72, FIND("±", results!D72) - 1), results!D72)</f>
        <v xml:space="preserve">4.50 </v>
      </c>
      <c r="H74" t="str">
        <f>IF(ISNUMBER(FIND("±", results!E72)), LEFT(results!E72, FIND("±", results!E72) - 1), results!E72)</f>
        <v>0.98</v>
      </c>
      <c r="I74" t="str">
        <f>IF(ISNUMBER(FIND("±", results!F72)), LEFT(results!F72, FIND("±", results!F72) - 1), results!F72)</f>
        <v xml:space="preserve">204.82 </v>
      </c>
      <c r="J74" t="str">
        <f>IF(ISNUMBER(FIND("±", results!G72)), LEFT(results!G72, FIND("±", results!G72) - 1), results!G72)</f>
        <v xml:space="preserve">114.67 </v>
      </c>
      <c r="K74" t="str">
        <f>IF(ISNUMBER(FIND("±", results!H72)), LEFT(results!H72, FIND("±", results!H72) - 1), results!H72)</f>
        <v xml:space="preserve">5.99 </v>
      </c>
      <c r="L74" t="str">
        <f>IF(ISNUMBER(FIND("±", results!I72)), LEFT(results!I72, FIND("±", results!I72) - 1), results!I72)</f>
        <v>1.00</v>
      </c>
      <c r="M74" t="str">
        <f>IF(ISNUMBER(FIND("±", results!J72)), LEFT(results!J72, FIND("±", results!J72) - 1), results!J72)</f>
        <v xml:space="preserve">196.73 </v>
      </c>
      <c r="N74" t="str">
        <f>IF(ISNUMBER(FIND("±", results!K72)), LEFT(results!K72, FIND("±", results!K72) - 1), results!K72)</f>
        <v xml:space="preserve">112.43 </v>
      </c>
      <c r="O74" t="str">
        <f>IF(ISNUMBER(FIND("±", results!L72)), LEFT(results!L72, FIND("±", results!L72) - 1), results!L72)</f>
        <v xml:space="preserve">7.12 </v>
      </c>
      <c r="P74" t="str">
        <f>IF(ISNUMBER(FIND("±", results!M72)), LEFT(results!M72, FIND("±", results!M72) - 1), results!M72)</f>
        <v>1.00</v>
      </c>
    </row>
    <row r="75" spans="4:16" ht="15.75" thickBot="1" x14ac:dyDescent="0.3">
      <c r="D75" s="4" t="s">
        <v>1045</v>
      </c>
      <c r="E75" t="str">
        <f>IF(ISNUMBER(FIND("±", results!B73)), LEFT(results!B73, FIND("±", results!B73) - 1), results!B73)</f>
        <v xml:space="preserve">696.26 </v>
      </c>
      <c r="F75" t="str">
        <f>IF(ISNUMBER(FIND("±", results!C73)), LEFT(results!C73, FIND("±", results!C73) - 1), results!C73)</f>
        <v xml:space="preserve">621.66 </v>
      </c>
      <c r="G75" t="str">
        <f>IF(ISNUMBER(FIND("±", results!D73)), LEFT(results!D73, FIND("±", results!D73) - 1), results!D73)</f>
        <v xml:space="preserve">171.55 </v>
      </c>
      <c r="H75" t="str">
        <f>IF(ISNUMBER(FIND("±", results!E73)), LEFT(results!E73, FIND("±", results!E73) - 1), results!E73)</f>
        <v>1.00</v>
      </c>
      <c r="I75" s="19" t="str">
        <f>IF(ISNUMBER(FIND("±", results!F73)), LEFT(results!F73, FIND("±", results!F73) - 1), results!F73)</f>
        <v xml:space="preserve">670.06 </v>
      </c>
      <c r="J75" t="str">
        <f>IF(ISNUMBER(FIND("±", results!G73)), LEFT(results!G73, FIND("±", results!G73) - 1), results!G73)</f>
        <v xml:space="preserve">427.06 </v>
      </c>
      <c r="K75" t="str">
        <f>IF(ISNUMBER(FIND("±", results!H73)), LEFT(results!H73, FIND("±", results!H73) - 1), results!H73)</f>
        <v xml:space="preserve">155.75 </v>
      </c>
      <c r="L75" t="str">
        <f>IF(ISNUMBER(FIND("±", results!I73)), LEFT(results!I73, FIND("±", results!I73) - 1), results!I73)</f>
        <v>1.00</v>
      </c>
      <c r="M75" t="str">
        <f>IF(ISNUMBER(FIND("±", results!J73)), LEFT(results!J73, FIND("±", results!J73) - 1), results!J73)</f>
        <v xml:space="preserve">757.30 </v>
      </c>
      <c r="N75" t="str">
        <f>IF(ISNUMBER(FIND("±", results!K73)), LEFT(results!K73, FIND("±", results!K73) - 1), results!K73)</f>
        <v xml:space="preserve">464.96 </v>
      </c>
      <c r="O75" t="str">
        <f>IF(ISNUMBER(FIND("±", results!L73)), LEFT(results!L73, FIND("±", results!L73) - 1), results!L73)</f>
        <v xml:space="preserve">225.52 </v>
      </c>
      <c r="P75" t="str">
        <f>IF(ISNUMBER(FIND("±", results!M73)), LEFT(results!M73, FIND("±", results!M73) - 1), results!M73)</f>
        <v>1.00</v>
      </c>
    </row>
    <row r="76" spans="4:16" x14ac:dyDescent="0.25">
      <c r="D76" s="2" t="s">
        <v>1046</v>
      </c>
      <c r="E76" s="19" t="str">
        <f>IF(ISNUMBER(FIND("±", results!B74)), LEFT(results!B74, FIND("±", results!B74) - 1), results!B74)</f>
        <v xml:space="preserve">88.18 </v>
      </c>
      <c r="F76" t="str">
        <f>IF(ISNUMBER(FIND("±", results!C74)), LEFT(results!C74, FIND("±", results!C74) - 1), results!C74)</f>
        <v xml:space="preserve">35.90 </v>
      </c>
      <c r="G76" t="str">
        <f>IF(ISNUMBER(FIND("±", results!D74)), LEFT(results!D74, FIND("±", results!D74) - 1), results!D74)</f>
        <v xml:space="preserve">3.73 </v>
      </c>
      <c r="H76" t="str">
        <f>IF(ISNUMBER(FIND("±", results!E74)), LEFT(results!E74, FIND("±", results!E74) - 1), results!E74)</f>
        <v>1.00</v>
      </c>
      <c r="I76" t="str">
        <f>IF(ISNUMBER(FIND("±", results!F74)), LEFT(results!F74, FIND("±", results!F74) - 1), results!F74)</f>
        <v xml:space="preserve">198.03 </v>
      </c>
      <c r="J76" t="str">
        <f>IF(ISNUMBER(FIND("±", results!G74)), LEFT(results!G74, FIND("±", results!G74) - 1), results!G74)</f>
        <v xml:space="preserve">56.97 </v>
      </c>
      <c r="K76" t="str">
        <f>IF(ISNUMBER(FIND("±", results!H74)), LEFT(results!H74, FIND("±", results!H74) - 1), results!H74)</f>
        <v xml:space="preserve">7.81 </v>
      </c>
      <c r="L76" t="str">
        <f>IF(ISNUMBER(FIND("±", results!I74)), LEFT(results!I74, FIND("±", results!I74) - 1), results!I74)</f>
        <v>1.00</v>
      </c>
      <c r="M76" t="str">
        <f>IF(ISNUMBER(FIND("±", results!J74)), LEFT(results!J74, FIND("±", results!J74) - 1), results!J74)</f>
        <v xml:space="preserve">197.90 </v>
      </c>
      <c r="N76" t="str">
        <f>IF(ISNUMBER(FIND("±", results!K74)), LEFT(results!K74, FIND("±", results!K74) - 1), results!K74)</f>
        <v xml:space="preserve">56.97 </v>
      </c>
      <c r="O76" t="str">
        <f>IF(ISNUMBER(FIND("±", results!L74)), LEFT(results!L74, FIND("±", results!L74) - 1), results!L74)</f>
        <v xml:space="preserve">8.92 </v>
      </c>
      <c r="P76" t="str">
        <f>IF(ISNUMBER(FIND("±", results!M74)), LEFT(results!M74, FIND("±", results!M74) - 1), results!M74)</f>
        <v>0.78</v>
      </c>
    </row>
    <row r="77" spans="4:16" ht="15.75" thickBot="1" x14ac:dyDescent="0.3">
      <c r="D77" s="4" t="s">
        <v>1047</v>
      </c>
      <c r="E77" s="19" t="str">
        <f>IF(ISNUMBER(FIND("±", results!B75)), LEFT(results!B75, FIND("±", results!B75) - 1), results!B75)</f>
        <v xml:space="preserve">158.56 </v>
      </c>
      <c r="F77" t="str">
        <f>IF(ISNUMBER(FIND("±", results!C75)), LEFT(results!C75, FIND("±", results!C75) - 1), results!C75)</f>
        <v xml:space="preserve">67.97 </v>
      </c>
      <c r="G77" t="str">
        <f>IF(ISNUMBER(FIND("±", results!D75)), LEFT(results!D75, FIND("±", results!D75) - 1), results!D75)</f>
        <v xml:space="preserve">26.07 </v>
      </c>
      <c r="H77" t="str">
        <f>IF(ISNUMBER(FIND("±", results!E75)), LEFT(results!E75, FIND("±", results!E75) - 1), results!E75)</f>
        <v>1.00</v>
      </c>
      <c r="I77" t="str">
        <f>IF(ISNUMBER(FIND("±", results!F75)), LEFT(results!F75, FIND("±", results!F75) - 1), results!F75)</f>
        <v xml:space="preserve">394.79 </v>
      </c>
      <c r="J77" t="str">
        <f>IF(ISNUMBER(FIND("±", results!G75)), LEFT(results!G75, FIND("±", results!G75) - 1), results!G75)</f>
        <v xml:space="preserve">122.95 </v>
      </c>
      <c r="K77" t="str">
        <f>IF(ISNUMBER(FIND("±", results!H75)), LEFT(results!H75, FIND("±", results!H75) - 1), results!H75)</f>
        <v xml:space="preserve">63.74 </v>
      </c>
      <c r="L77" t="str">
        <f>IF(ISNUMBER(FIND("±", results!I75)), LEFT(results!I75, FIND("±", results!I75) - 1), results!I75)</f>
        <v>1.00</v>
      </c>
      <c r="M77" t="str">
        <f>IF(ISNUMBER(FIND("±", results!J75)), LEFT(results!J75, FIND("±", results!J75) - 1), results!J75)</f>
        <v xml:space="preserve">397.72 </v>
      </c>
      <c r="N77" t="str">
        <f>IF(ISNUMBER(FIND("±", results!K75)), LEFT(results!K75, FIND("±", results!K75) - 1), results!K75)</f>
        <v xml:space="preserve">122.95 </v>
      </c>
      <c r="O77" t="str">
        <f>IF(ISNUMBER(FIND("±", results!L75)), LEFT(results!L75, FIND("±", results!L75) - 1), results!L75)</f>
        <v xml:space="preserve">76.88 </v>
      </c>
      <c r="P77" t="str">
        <f>IF(ISNUMBER(FIND("±", results!M75)), LEFT(results!M75, FIND("±", results!M75) - 1), results!M75)</f>
        <v>0.78</v>
      </c>
    </row>
    <row r="80" spans="4:16" ht="15.75" thickBot="1" x14ac:dyDescent="0.3"/>
    <row r="81" spans="4:12" ht="15.75" thickBot="1" x14ac:dyDescent="0.3">
      <c r="D81" s="217" t="s">
        <v>275</v>
      </c>
      <c r="E81" s="218"/>
      <c r="F81" s="218"/>
      <c r="G81" s="218"/>
      <c r="H81" s="218"/>
      <c r="I81" s="218"/>
      <c r="J81" s="218"/>
      <c r="K81" s="218"/>
      <c r="L81" s="219"/>
    </row>
    <row r="82" spans="4:12" x14ac:dyDescent="0.25">
      <c r="D82" s="222" t="s">
        <v>1035</v>
      </c>
      <c r="E82" s="225" t="s">
        <v>276</v>
      </c>
      <c r="F82" s="226"/>
      <c r="G82" s="226"/>
      <c r="H82" s="227"/>
      <c r="I82" s="214" t="s">
        <v>277</v>
      </c>
      <c r="J82" s="216"/>
      <c r="K82" s="216"/>
      <c r="L82" s="215"/>
    </row>
    <row r="83" spans="4:12" ht="15.75" thickBot="1" x14ac:dyDescent="0.3">
      <c r="D83" s="223"/>
      <c r="E83" s="3" t="s">
        <v>47</v>
      </c>
      <c r="F83" s="15" t="s">
        <v>1048</v>
      </c>
      <c r="G83" t="s">
        <v>48</v>
      </c>
      <c r="H83" t="s">
        <v>621</v>
      </c>
      <c r="I83" s="3" t="s">
        <v>47</v>
      </c>
      <c r="J83" s="15" t="s">
        <v>1048</v>
      </c>
      <c r="K83" t="s">
        <v>48</v>
      </c>
      <c r="L83" s="6" t="s">
        <v>621</v>
      </c>
    </row>
    <row r="84" spans="4:12" x14ac:dyDescent="0.25">
      <c r="D84" s="2" t="s">
        <v>1036</v>
      </c>
      <c r="E84" t="str">
        <f>IF(ISNUMBER(FIND("±", results!B82)), LEFT(results!B82, FIND("±", results!B82) - 1), results!B82)</f>
        <v xml:space="preserve">72.88 </v>
      </c>
      <c r="F84" t="str">
        <f>IF(ISNUMBER(FIND("±", results!C82)), LEFT(results!C82, FIND("±", results!C82) - 1), results!C82)</f>
        <v xml:space="preserve">0.35 </v>
      </c>
      <c r="G84" s="19" t="str">
        <f>IF(ISNUMBER(FIND("±", results!D82)), LEFT(results!D82, FIND("±", results!D82) - 1), results!D82)</f>
        <v xml:space="preserve">2.83 </v>
      </c>
      <c r="H84">
        <f>IF(ISNUMBER(FIND("±", results!E82)), LEFT(results!E82, FIND("±", results!E82) - 1), results!E82)</f>
        <v>1</v>
      </c>
      <c r="I84" s="19" t="str">
        <f>IF(ISNUMBER(FIND("±", results!F82)), LEFT(results!F82, FIND("±", results!F82) - 1), results!F82)</f>
        <v xml:space="preserve">69.65 </v>
      </c>
      <c r="J84" t="str">
        <f>IF(ISNUMBER(FIND("±", results!G82)), LEFT(results!G82, FIND("±", results!G82) - 1), results!G82)</f>
        <v xml:space="preserve">0.35 </v>
      </c>
      <c r="K84" t="str">
        <f>IF(ISNUMBER(FIND("±", results!H82)), LEFT(results!H82, FIND("±", results!H82) - 1), results!H82)</f>
        <v xml:space="preserve">3.34 </v>
      </c>
      <c r="L84">
        <f>IF(ISNUMBER(FIND("±", results!I82)), LEFT(results!I82, FIND("±", results!I82) - 1), results!I82)</f>
        <v>1</v>
      </c>
    </row>
    <row r="85" spans="4:12" x14ac:dyDescent="0.25">
      <c r="D85" s="3" t="s">
        <v>1037</v>
      </c>
      <c r="E85" t="str">
        <f>IF(ISNUMBER(FIND("±", results!B83)), LEFT(results!B83, FIND("±", results!B83) - 1), results!B83)</f>
        <v xml:space="preserve">87.76 </v>
      </c>
      <c r="F85" t="str">
        <f>IF(ISNUMBER(FIND("±", results!C83)), LEFT(results!C83, FIND("±", results!C83) - 1), results!C83)</f>
        <v xml:space="preserve">1.86 </v>
      </c>
      <c r="G85" s="19" t="str">
        <f>IF(ISNUMBER(FIND("±", results!D83)), LEFT(results!D83, FIND("±", results!D83) - 1), results!D83)</f>
        <v xml:space="preserve">5.73 </v>
      </c>
      <c r="H85">
        <f>IF(ISNUMBER(FIND("±", results!E83)), LEFT(results!E83, FIND("±", results!E83) - 1), results!E83)</f>
        <v>1</v>
      </c>
      <c r="I85" s="19" t="str">
        <f>IF(ISNUMBER(FIND("±", results!F83)), LEFT(results!F83, FIND("±", results!F83) - 1), results!F83)</f>
        <v xml:space="preserve">82.67 </v>
      </c>
      <c r="J85" t="str">
        <f>IF(ISNUMBER(FIND("±", results!G83)), LEFT(results!G83, FIND("±", results!G83) - 1), results!G83)</f>
        <v xml:space="preserve">1.86 </v>
      </c>
      <c r="K85" t="str">
        <f>IF(ISNUMBER(FIND("±", results!H83)), LEFT(results!H83, FIND("±", results!H83) - 1), results!H83)</f>
        <v xml:space="preserve">5.87 </v>
      </c>
      <c r="L85">
        <f>IF(ISNUMBER(FIND("±", results!I83)), LEFT(results!I83, FIND("±", results!I83) - 1), results!I83)</f>
        <v>1</v>
      </c>
    </row>
    <row r="86" spans="4:12" ht="15.75" thickBot="1" x14ac:dyDescent="0.3">
      <c r="D86" s="4" t="s">
        <v>1038</v>
      </c>
      <c r="E86" s="19" t="str">
        <f>IF(ISNUMBER(FIND("±", results!B84)), LEFT(results!B84, FIND("±", results!B84) - 1), results!B84)</f>
        <v xml:space="preserve">140.00 </v>
      </c>
      <c r="F86" t="str">
        <f>IF(ISNUMBER(FIND("±", results!C84)), LEFT(results!C84, FIND("±", results!C84) - 1), results!C84)</f>
        <v xml:space="preserve">1.83 </v>
      </c>
      <c r="G86" s="19" t="str">
        <f>IF(ISNUMBER(FIND("±", results!D84)), LEFT(results!D84, FIND("±", results!D84) - 1), results!D84)</f>
        <v xml:space="preserve">11.44 </v>
      </c>
      <c r="H86">
        <f>IF(ISNUMBER(FIND("±", results!E84)), LEFT(results!E84, FIND("±", results!E84) - 1), results!E84)</f>
        <v>1</v>
      </c>
      <c r="I86" t="str">
        <f>IF(ISNUMBER(FIND("±", results!F84)), LEFT(results!F84, FIND("±", results!F84) - 1), results!F84)</f>
        <v xml:space="preserve">141.61 </v>
      </c>
      <c r="J86" t="str">
        <f>IF(ISNUMBER(FIND("±", results!G84)), LEFT(results!G84, FIND("±", results!G84) - 1), results!G84)</f>
        <v xml:space="preserve">1.83 </v>
      </c>
      <c r="K86" t="str">
        <f>IF(ISNUMBER(FIND("±", results!H84)), LEFT(results!H84, FIND("±", results!H84) - 1), results!H84)</f>
        <v xml:space="preserve">17.15 </v>
      </c>
      <c r="L86">
        <f>IF(ISNUMBER(FIND("±", results!I84)), LEFT(results!I84, FIND("±", results!I84) - 1), results!I84)</f>
        <v>1</v>
      </c>
    </row>
    <row r="87" spans="4:12" x14ac:dyDescent="0.25">
      <c r="D87" s="3" t="s">
        <v>1039</v>
      </c>
      <c r="E87" t="str">
        <f>IF(ISNUMBER(FIND("±", results!B85)), LEFT(results!B85, FIND("±", results!B85) - 1), results!B85)</f>
        <v xml:space="preserve">749.88 </v>
      </c>
      <c r="F87" t="str">
        <f>IF(ISNUMBER(FIND("±", results!C85)), LEFT(results!C85, FIND("±", results!C85) - 1), results!C85)</f>
        <v xml:space="preserve">0.12 </v>
      </c>
      <c r="G87" s="19" t="str">
        <f>IF(ISNUMBER(FIND("±", results!D85)), LEFT(results!D85, FIND("±", results!D85) - 1), results!D85)</f>
        <v xml:space="preserve">85.68 </v>
      </c>
      <c r="H87">
        <f>IF(ISNUMBER(FIND("±", results!E85)), LEFT(results!E85, FIND("±", results!E85) - 1), results!E85)</f>
        <v>1</v>
      </c>
      <c r="I87" s="19" t="str">
        <f>IF(ISNUMBER(FIND("±", results!F85)), LEFT(results!F85, FIND("±", results!F85) - 1), results!F85)</f>
        <v xml:space="preserve">749.00 </v>
      </c>
      <c r="J87" s="19" t="str">
        <f>IF(ISNUMBER(FIND("±", results!G85)), LEFT(results!G85, FIND("±", results!G85) - 1), results!G85)</f>
        <v xml:space="preserve">0.10 </v>
      </c>
      <c r="K87" t="str">
        <f>IF(ISNUMBER(FIND("±", results!H85)), LEFT(results!H85, FIND("±", results!H85) - 1), results!H85)</f>
        <v xml:space="preserve">171.06 </v>
      </c>
      <c r="L87">
        <f>IF(ISNUMBER(FIND("±", results!I85)), LEFT(results!I85, FIND("±", results!I85) - 1), results!I85)</f>
        <v>1</v>
      </c>
    </row>
    <row r="88" spans="4:12" x14ac:dyDescent="0.25">
      <c r="D88" s="3" t="s">
        <v>1040</v>
      </c>
      <c r="E88" s="19" t="str">
        <f>IF(ISNUMBER(FIND("±", results!B86)), LEFT(results!B86, FIND("±", results!B86) - 1), results!B86)</f>
        <v xml:space="preserve">418.45 </v>
      </c>
      <c r="F88" t="str">
        <f>IF(ISNUMBER(FIND("±", results!C86)), LEFT(results!C86, FIND("±", results!C86) - 1), results!C86)</f>
        <v xml:space="preserve">0.30 </v>
      </c>
      <c r="G88" s="19" t="str">
        <f>IF(ISNUMBER(FIND("±", results!D86)), LEFT(results!D86, FIND("±", results!D86) - 1), results!D86)</f>
        <v xml:space="preserve">92.64 </v>
      </c>
      <c r="H88">
        <f>IF(ISNUMBER(FIND("±", results!E86)), LEFT(results!E86, FIND("±", results!E86) - 1), results!E86)</f>
        <v>1</v>
      </c>
      <c r="I88" t="str">
        <f>IF(ISNUMBER(FIND("±", results!F86)), LEFT(results!F86, FIND("±", results!F86) - 1), results!F86)</f>
        <v xml:space="preserve">498.45 </v>
      </c>
      <c r="J88" t="str">
        <f>IF(ISNUMBER(FIND("±", results!G86)), LEFT(results!G86, FIND("±", results!G86) - 1), results!G86)</f>
        <v xml:space="preserve">0.30 </v>
      </c>
      <c r="K88" t="str">
        <f>IF(ISNUMBER(FIND("±", results!H86)), LEFT(results!H86, FIND("±", results!H86) - 1), results!H86)</f>
        <v xml:space="preserve">100.37 </v>
      </c>
      <c r="L88">
        <f>IF(ISNUMBER(FIND("±", results!I86)), LEFT(results!I86, FIND("±", results!I86) - 1), results!I86)</f>
        <v>1</v>
      </c>
    </row>
    <row r="89" spans="4:12" ht="15.75" thickBot="1" x14ac:dyDescent="0.3">
      <c r="D89" s="4" t="s">
        <v>1041</v>
      </c>
      <c r="E89" s="19" t="str">
        <f>IF(ISNUMBER(FIND("±", results!B87)), LEFT(results!B87, FIND("±", results!B87) - 1), results!B87)</f>
        <v xml:space="preserve">970.86 </v>
      </c>
      <c r="F89" t="str">
        <f>IF(ISNUMBER(FIND("±", results!C87)), LEFT(results!C87, FIND("±", results!C87) - 1), results!C87)</f>
        <v xml:space="preserve">0.07 </v>
      </c>
      <c r="G89" t="str">
        <f>IF(ISNUMBER(FIND("±", results!D87)), LEFT(results!D87, FIND("±", results!D87) - 1), results!D87)</f>
        <v xml:space="preserve">234.42 </v>
      </c>
      <c r="H89">
        <f>IF(ISNUMBER(FIND("±", results!E87)), LEFT(results!E87, FIND("±", results!E87) - 1), results!E87)</f>
        <v>1</v>
      </c>
      <c r="I89" t="str">
        <f>IF(ISNUMBER(FIND("±", results!F87)), LEFT(results!F87, FIND("±", results!F87) - 1), results!F87)</f>
        <v xml:space="preserve">975.61 </v>
      </c>
      <c r="J89" t="str">
        <f>IF(ISNUMBER(FIND("±", results!G87)), LEFT(results!G87, FIND("±", results!G87) - 1), results!G87)</f>
        <v xml:space="preserve">0.07 </v>
      </c>
      <c r="K89" s="19" t="str">
        <f>IF(ISNUMBER(FIND("±", results!H87)), LEFT(results!H87, FIND("±", results!H87) - 1), results!H87)</f>
        <v xml:space="preserve">227.35 </v>
      </c>
      <c r="L89">
        <f>IF(ISNUMBER(FIND("±", results!I87)), LEFT(results!I87, FIND("±", results!I87) - 1), results!I87)</f>
        <v>1</v>
      </c>
    </row>
    <row r="90" spans="4:12" x14ac:dyDescent="0.25">
      <c r="D90" s="3" t="s">
        <v>1042</v>
      </c>
      <c r="H90">
        <f>IF(ISNUMBER(FIND("±", results!E88)), LEFT(results!E88, FIND("±", results!E88) - 1), results!E88)</f>
        <v>1</v>
      </c>
      <c r="L90">
        <f>IF(ISNUMBER(FIND("±", results!I88)), LEFT(results!I88, FIND("±", results!I88) - 1), results!I88)</f>
        <v>1</v>
      </c>
    </row>
    <row r="91" spans="4:12" ht="15.75" thickBot="1" x14ac:dyDescent="0.3">
      <c r="D91" s="3" t="s">
        <v>2236</v>
      </c>
    </row>
    <row r="92" spans="4:12" ht="15.75" thickBot="1" x14ac:dyDescent="0.3">
      <c r="D92" s="8" t="s">
        <v>1043</v>
      </c>
      <c r="E92" s="19" t="str">
        <f>IF(ISNUMBER(FIND("±", results!B89)), LEFT(results!B89, FIND("±", results!B89) - 1), results!B89)</f>
        <v xml:space="preserve">10.33 </v>
      </c>
      <c r="F92" s="19" t="str">
        <f>IF(ISNUMBER(FIND("±", results!C89)), LEFT(results!C89, FIND("±", results!C89) - 1), results!C89)</f>
        <v xml:space="preserve">0.00 </v>
      </c>
      <c r="G92" s="19" t="str">
        <f>IF(ISNUMBER(FIND("±", results!D89)), LEFT(results!D89, FIND("±", results!D89) - 1), results!D89)</f>
        <v xml:space="preserve">0.22 </v>
      </c>
      <c r="H92">
        <f>IF(ISNUMBER(FIND("±", results!E89)), LEFT(results!E89, FIND("±", results!E89) - 1), results!E89)</f>
        <v>1</v>
      </c>
      <c r="I92" t="str">
        <f>IF(ISNUMBER(FIND("±", results!F89)), LEFT(results!F89, FIND("±", results!F89) - 1), results!F89)</f>
        <v xml:space="preserve">11.33 </v>
      </c>
      <c r="J92" t="str">
        <f>IF(ISNUMBER(FIND("±", results!G89)), LEFT(results!G89, FIND("±", results!G89) - 1), results!G89)</f>
        <v xml:space="preserve">1.00 </v>
      </c>
      <c r="K92" t="str">
        <f>IF(ISNUMBER(FIND("±", results!H89)), LEFT(results!H89, FIND("±", results!H89) - 1), results!H89)</f>
        <v xml:space="preserve">0.66 </v>
      </c>
      <c r="L92">
        <f>IF(ISNUMBER(FIND("±", results!I89)), LEFT(results!I89, FIND("±", results!I89) - 1), results!I89)</f>
        <v>1</v>
      </c>
    </row>
    <row r="93" spans="4:12" ht="15.75" thickBot="1" x14ac:dyDescent="0.3">
      <c r="D93" s="2" t="s">
        <v>2235</v>
      </c>
      <c r="E93" s="19"/>
      <c r="F93" s="19"/>
      <c r="G93" s="19"/>
    </row>
    <row r="94" spans="4:12" x14ac:dyDescent="0.25">
      <c r="D94" s="2" t="s">
        <v>1044</v>
      </c>
      <c r="E94" s="19" t="str">
        <f>IF(ISNUMBER(FIND("±", results!B90)), LEFT(results!B90, FIND("±", results!B90) - 1), results!B90)</f>
        <v xml:space="preserve">38.33 </v>
      </c>
      <c r="F94" s="19" t="str">
        <f>IF(ISNUMBER(FIND("±", results!C90)), LEFT(results!C90, FIND("±", results!C90) - 1), results!C90)</f>
        <v xml:space="preserve">1.00 </v>
      </c>
      <c r="G94" t="str">
        <f>IF(ISNUMBER(FIND("±", results!D90)), LEFT(results!D90, FIND("±", results!D90) - 1), results!D90)</f>
        <v xml:space="preserve">0.62 </v>
      </c>
      <c r="H94">
        <f>IF(ISNUMBER(FIND("±", results!E90)), LEFT(results!E90, FIND("±", results!E90) - 1), results!E90)</f>
        <v>1</v>
      </c>
      <c r="I94" t="str">
        <f>IF(ISNUMBER(FIND("±", results!F90)), LEFT(results!F90, FIND("±", results!F90) - 1), results!F90)</f>
        <v xml:space="preserve">38.37 </v>
      </c>
      <c r="J94" t="str">
        <f>IF(ISNUMBER(FIND("±", results!G90)), LEFT(results!G90, FIND("±", results!G90) - 1), results!G90)</f>
        <v xml:space="preserve">2.00 </v>
      </c>
      <c r="K94" s="19" t="str">
        <f>IF(ISNUMBER(FIND("±", results!H90)), LEFT(results!H90, FIND("±", results!H90) - 1), results!H90)</f>
        <v xml:space="preserve">0.54 </v>
      </c>
      <c r="L94">
        <f>IF(ISNUMBER(FIND("±", results!I90)), LEFT(results!I90, FIND("±", results!I90) - 1), results!I90)</f>
        <v>1</v>
      </c>
    </row>
    <row r="95" spans="4:12" ht="15.75" thickBot="1" x14ac:dyDescent="0.3">
      <c r="D95" s="4" t="s">
        <v>1045</v>
      </c>
      <c r="E95" s="19" t="str">
        <f>IF(ISNUMBER(FIND("±", results!B91)), LEFT(results!B91, FIND("±", results!B91) - 1), results!B91)</f>
        <v xml:space="preserve">63.44 </v>
      </c>
      <c r="F95" s="19" t="str">
        <f>IF(ISNUMBER(FIND("±", results!C91)), LEFT(results!C91, FIND("±", results!C91) - 1), results!C91)</f>
        <v xml:space="preserve">1.08 </v>
      </c>
      <c r="G95" t="str">
        <f>IF(ISNUMBER(FIND("±", results!D91)), LEFT(results!D91, FIND("±", results!D91) - 1), results!D91)</f>
        <v xml:space="preserve">2.52 </v>
      </c>
      <c r="H95">
        <f>IF(ISNUMBER(FIND("±", results!E91)), LEFT(results!E91, FIND("±", results!E91) - 1), results!E91)</f>
        <v>1</v>
      </c>
      <c r="I95" t="str">
        <f>IF(ISNUMBER(FIND("±", results!F91)), LEFT(results!F91, FIND("±", results!F91) - 1), results!F91)</f>
        <v xml:space="preserve">72.00 </v>
      </c>
      <c r="J95" t="str">
        <f>IF(ISNUMBER(FIND("±", results!G91)), LEFT(results!G91, FIND("±", results!G91) - 1), results!G91)</f>
        <v xml:space="preserve">1.76 </v>
      </c>
      <c r="K95" s="19" t="str">
        <f>IF(ISNUMBER(FIND("±", results!H91)), LEFT(results!H91, FIND("±", results!H91) - 1), results!H91)</f>
        <v xml:space="preserve">1.86 </v>
      </c>
      <c r="L95">
        <f>IF(ISNUMBER(FIND("±", results!I91)), LEFT(results!I91, FIND("±", results!I91) - 1), results!I91)</f>
        <v>1</v>
      </c>
    </row>
    <row r="96" spans="4:12" x14ac:dyDescent="0.25">
      <c r="D96" s="2" t="s">
        <v>1046</v>
      </c>
      <c r="E96" t="str">
        <f>IF(ISNUMBER(FIND("±", results!B92)), LEFT(results!B92, FIND("±", results!B92) - 1), results!B92)</f>
        <v xml:space="preserve">49.50 </v>
      </c>
      <c r="F96" s="19" t="str">
        <f>IF(ISNUMBER(FIND("±", results!C92)), LEFT(results!C92, FIND("±", results!C92) - 1), results!C92)</f>
        <v xml:space="preserve">0.71 </v>
      </c>
      <c r="G96" t="str">
        <f>IF(ISNUMBER(FIND("±", results!D92)), LEFT(results!D92, FIND("±", results!D92) - 1), results!D92)</f>
        <v xml:space="preserve">5.47 </v>
      </c>
      <c r="H96">
        <f>IF(ISNUMBER(FIND("±", results!E92)), LEFT(results!E92, FIND("±", results!E92) - 1), results!E92)</f>
        <v>1</v>
      </c>
      <c r="I96" s="19" t="str">
        <f>IF(ISNUMBER(FIND("±", results!F92)), LEFT(results!F92, FIND("±", results!F92) - 1), results!F92)</f>
        <v xml:space="preserve">49.21 </v>
      </c>
      <c r="J96" t="str">
        <f>IF(ISNUMBER(FIND("±", results!G92)), LEFT(results!G92, FIND("±", results!G92) - 1), results!G92)</f>
        <v xml:space="preserve">0.79 </v>
      </c>
      <c r="K96" s="19" t="str">
        <f>IF(ISNUMBER(FIND("±", results!H92)), LEFT(results!H92, FIND("±", results!H92) - 1), results!H92)</f>
        <v xml:space="preserve">4.14 </v>
      </c>
      <c r="L96">
        <f>IF(ISNUMBER(FIND("±", results!I92)), LEFT(results!I92, FIND("±", results!I92) - 1), results!I92)</f>
        <v>1</v>
      </c>
    </row>
    <row r="97" spans="4:20" ht="15.75" thickBot="1" x14ac:dyDescent="0.3">
      <c r="D97" s="4" t="s">
        <v>1047</v>
      </c>
      <c r="E97" s="19" t="str">
        <f>IF(ISNUMBER(FIND("±", results!B93)), LEFT(results!B93, FIND("±", results!B93) - 1), results!B93)</f>
        <v xml:space="preserve">66.27 </v>
      </c>
      <c r="F97" s="19" t="str">
        <f>IF(ISNUMBER(FIND("±", results!C93)), LEFT(results!C93, FIND("±", results!C93) - 1), results!C93)</f>
        <v xml:space="preserve">1.19 </v>
      </c>
      <c r="G97" t="str">
        <f>IF(ISNUMBER(FIND("±", results!D93)), LEFT(results!D93, FIND("±", results!D93) - 1), results!D93)</f>
        <v xml:space="preserve">37.92 </v>
      </c>
      <c r="H97">
        <f>IF(ISNUMBER(FIND("±", results!E93)), LEFT(results!E93, FIND("±", results!E93) - 1), results!E93)</f>
        <v>1</v>
      </c>
      <c r="I97" t="str">
        <f>IF(ISNUMBER(FIND("±", results!F93)), LEFT(results!F93, FIND("±", results!F93) - 1), results!F93)</f>
        <v xml:space="preserve">67.46 </v>
      </c>
      <c r="J97" t="str">
        <f>IF(ISNUMBER(FIND("±", results!G93)), LEFT(results!G93, FIND("±", results!G93) - 1), results!G93)</f>
        <v xml:space="preserve">1.23 </v>
      </c>
      <c r="K97" s="19" t="str">
        <f>IF(ISNUMBER(FIND("±", results!H93)), LEFT(results!H93, FIND("±", results!H93) - 1), results!H93)</f>
        <v xml:space="preserve">29.99 </v>
      </c>
      <c r="L97">
        <f>IF(ISNUMBER(FIND("±", results!I93)), LEFT(results!I93, FIND("±", results!I93) - 1), results!I93)</f>
        <v>1</v>
      </c>
    </row>
    <row r="100" spans="4:20" ht="15.75" thickBot="1" x14ac:dyDescent="0.3"/>
    <row r="101" spans="4:20" ht="15.75" thickBot="1" x14ac:dyDescent="0.3">
      <c r="D101" s="217" t="s">
        <v>802</v>
      </c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9"/>
    </row>
    <row r="102" spans="4:20" x14ac:dyDescent="0.25">
      <c r="D102" s="222" t="s">
        <v>1035</v>
      </c>
      <c r="E102" s="220" t="s">
        <v>276</v>
      </c>
      <c r="F102" s="221"/>
      <c r="G102" s="221"/>
      <c r="H102" s="224"/>
      <c r="I102" s="214" t="s">
        <v>335</v>
      </c>
      <c r="J102" s="216"/>
      <c r="K102" s="216"/>
      <c r="L102" s="215"/>
      <c r="M102" s="214" t="s">
        <v>336</v>
      </c>
      <c r="N102" s="216"/>
      <c r="O102" s="216"/>
      <c r="P102" s="215"/>
      <c r="Q102" s="214" t="s">
        <v>337</v>
      </c>
      <c r="R102" s="216"/>
      <c r="S102" s="216"/>
      <c r="T102" s="215"/>
    </row>
    <row r="103" spans="4:20" ht="15.75" thickBot="1" x14ac:dyDescent="0.3">
      <c r="D103" s="223"/>
      <c r="E103" s="3" t="s">
        <v>47</v>
      </c>
      <c r="F103" s="15" t="s">
        <v>1048</v>
      </c>
      <c r="G103" t="s">
        <v>48</v>
      </c>
      <c r="H103" t="s">
        <v>621</v>
      </c>
      <c r="I103" s="3" t="s">
        <v>47</v>
      </c>
      <c r="J103" s="15" t="s">
        <v>1048</v>
      </c>
      <c r="K103" t="s">
        <v>48</v>
      </c>
      <c r="L103" t="s">
        <v>621</v>
      </c>
      <c r="M103" t="s">
        <v>47</v>
      </c>
      <c r="N103" s="15" t="s">
        <v>1048</v>
      </c>
      <c r="O103" t="s">
        <v>48</v>
      </c>
      <c r="P103" t="s">
        <v>621</v>
      </c>
      <c r="Q103" t="s">
        <v>47</v>
      </c>
      <c r="R103" s="15" t="s">
        <v>1048</v>
      </c>
      <c r="S103" t="s">
        <v>48</v>
      </c>
      <c r="T103" t="s">
        <v>621</v>
      </c>
    </row>
    <row r="104" spans="4:20" x14ac:dyDescent="0.25">
      <c r="D104" s="2" t="s">
        <v>1036</v>
      </c>
    </row>
    <row r="105" spans="4:20" x14ac:dyDescent="0.25">
      <c r="D105" s="3" t="s">
        <v>1037</v>
      </c>
    </row>
    <row r="106" spans="4:20" ht="15.75" thickBot="1" x14ac:dyDescent="0.3">
      <c r="D106" s="4" t="s">
        <v>1038</v>
      </c>
    </row>
    <row r="107" spans="4:20" x14ac:dyDescent="0.25">
      <c r="D107" s="3" t="s">
        <v>1039</v>
      </c>
      <c r="E107" t="str">
        <f>IF(ISNUMBER(FIND("±", results!B103)), LEFT(results!B103, FIND("±", results!B103) - 1), results!B103)</f>
        <v xml:space="preserve">797.95 </v>
      </c>
      <c r="F107" t="str">
        <f>IF(ISNUMBER(FIND("±", results!C103)), LEFT(results!C103, FIND("±", results!C103) - 1), results!C103)</f>
        <v xml:space="preserve">0.65 </v>
      </c>
      <c r="G107" t="str">
        <f>IF(ISNUMBER(FIND("±", results!D103)), LEFT(results!D103, FIND("±", results!D103) - 1), results!D103)</f>
        <v xml:space="preserve">56.91 </v>
      </c>
      <c r="H107" t="str">
        <f>IF(ISNUMBER(FIND("±", results!E103)), LEFT(results!E103, FIND("±", results!E103) - 1), results!E103)</f>
        <v>0.74</v>
      </c>
      <c r="I107" t="str">
        <f>IF(ISNUMBER(FIND("±", results!F103)), LEFT(results!F103, FIND("±", results!F103) - 1), results!F103)</f>
        <v xml:space="preserve">797.95 </v>
      </c>
      <c r="J107" t="str">
        <f>IF(ISNUMBER(FIND("±", results!G103)), LEFT(results!G103, FIND("±", results!G103) - 1), results!G103)</f>
        <v xml:space="preserve">0.65 </v>
      </c>
      <c r="K107" t="str">
        <f>IF(ISNUMBER(FIND("±", results!H103)), LEFT(results!H103, FIND("±", results!H103) - 1), results!H103)</f>
        <v xml:space="preserve">58.50 </v>
      </c>
      <c r="L107" t="str">
        <f>IF(ISNUMBER(FIND("±", results!I103)), LEFT(results!I103, FIND("±", results!I103) - 1), results!I103)</f>
        <v>0.54</v>
      </c>
      <c r="M107" t="str">
        <f>IF(ISNUMBER(FIND("±", results!J103)), LEFT(results!J103, FIND("±", results!J103) - 1), results!J103)</f>
        <v xml:space="preserve">797.95 </v>
      </c>
      <c r="N107" t="str">
        <f>IF(ISNUMBER(FIND("±", results!K103)), LEFT(results!K103, FIND("±", results!K103) - 1), results!K103)</f>
        <v xml:space="preserve">0.65 </v>
      </c>
      <c r="O107" t="str">
        <f>IF(ISNUMBER(FIND("±", results!L103)), LEFT(results!L103, FIND("±", results!L103) - 1), results!L103)</f>
        <v xml:space="preserve">57.63 </v>
      </c>
      <c r="P107" t="str">
        <f>IF(ISNUMBER(FIND("±", results!M103)), LEFT(results!M103, FIND("±", results!M103) - 1), results!M103)</f>
        <v>0.62</v>
      </c>
      <c r="Q107" t="str">
        <f>IF(ISNUMBER(FIND("±", results!N103)), LEFT(results!N103, FIND("±", results!N103) - 1), results!N103)</f>
        <v xml:space="preserve">797.95 </v>
      </c>
      <c r="R107" t="str">
        <f>IF(ISNUMBER(FIND("±", results!O103)), LEFT(results!O103, FIND("±", results!O103) - 1), results!O103)</f>
        <v xml:space="preserve">0.65 </v>
      </c>
      <c r="S107" t="str">
        <f>IF(ISNUMBER(FIND("±", results!P103)), LEFT(results!P103, FIND("±", results!P103) - 1), results!P103)</f>
        <v xml:space="preserve">58.41 </v>
      </c>
      <c r="T107" t="str">
        <f>IF(ISNUMBER(FIND("±", results!Q103)), LEFT(results!Q103, FIND("±", results!Q103) - 1), results!Q103)</f>
        <v>0.88</v>
      </c>
    </row>
    <row r="108" spans="4:20" x14ac:dyDescent="0.25">
      <c r="D108" s="3" t="s">
        <v>1040</v>
      </c>
      <c r="E108" t="str">
        <f>IF(ISNUMBER(FIND("±", results!B104)), LEFT(results!B104, FIND("±", results!B104) - 1), results!B104)</f>
        <v xml:space="preserve">499.67 </v>
      </c>
      <c r="F108" t="str">
        <f>IF(ISNUMBER(FIND("±", results!C104)), LEFT(results!C104, FIND("±", results!C104) - 1), results!C104)</f>
        <v xml:space="preserve">0.25 </v>
      </c>
      <c r="G108" t="str">
        <f>IF(ISNUMBER(FIND("±", results!D104)), LEFT(results!D104, FIND("±", results!D104) - 1), results!D104)</f>
        <v xml:space="preserve">75.10 </v>
      </c>
      <c r="H108" t="str">
        <f>IF(ISNUMBER(FIND("±", results!E104)), LEFT(results!E104, FIND("±", results!E104) - 1), results!E104)</f>
        <v>0.78</v>
      </c>
      <c r="I108" t="str">
        <f>IF(ISNUMBER(FIND("±", results!F104)), LEFT(results!F104, FIND("±", results!F104) - 1), results!F104)</f>
        <v xml:space="preserve">463.46 </v>
      </c>
      <c r="J108" t="str">
        <f>IF(ISNUMBER(FIND("±", results!G104)), LEFT(results!G104, FIND("±", results!G104) - 1), results!G104)</f>
        <v xml:space="preserve">0.33 </v>
      </c>
      <c r="K108" t="str">
        <f>IF(ISNUMBER(FIND("±", results!H104)), LEFT(results!H104, FIND("±", results!H104) - 1), results!H104)</f>
        <v xml:space="preserve">73.36 </v>
      </c>
      <c r="L108" t="str">
        <f>IF(ISNUMBER(FIND("±", results!I104)), LEFT(results!I104, FIND("±", results!I104) - 1), results!I104)</f>
        <v>0.62</v>
      </c>
      <c r="M108" t="str">
        <f>IF(ISNUMBER(FIND("±", results!J104)), LEFT(results!J104, FIND("±", results!J104) - 1), results!J104)</f>
        <v xml:space="preserve">499.67 </v>
      </c>
      <c r="N108" t="str">
        <f>IF(ISNUMBER(FIND("±", results!K104)), LEFT(results!K104, FIND("±", results!K104) - 1), results!K104)</f>
        <v xml:space="preserve">0.25 </v>
      </c>
      <c r="O108" t="str">
        <f>IF(ISNUMBER(FIND("±", results!L104)), LEFT(results!L104, FIND("±", results!L104) - 1), results!L104)</f>
        <v xml:space="preserve">75.41 </v>
      </c>
      <c r="P108" t="str">
        <f>IF(ISNUMBER(FIND("±", results!M104)), LEFT(results!M104, FIND("±", results!M104) - 1), results!M104)</f>
        <v>0.66</v>
      </c>
      <c r="Q108" t="str">
        <f>IF(ISNUMBER(FIND("±", results!N104)), LEFT(results!N104, FIND("±", results!N104) - 1), results!N104)</f>
        <v xml:space="preserve">499.67 </v>
      </c>
      <c r="R108" t="str">
        <f>IF(ISNUMBER(FIND("±", results!O104)), LEFT(results!O104, FIND("±", results!O104) - 1), results!O104)</f>
        <v xml:space="preserve">0.25 </v>
      </c>
      <c r="S108" t="str">
        <f>IF(ISNUMBER(FIND("±", results!P104)), LEFT(results!P104, FIND("±", results!P104) - 1), results!P104)</f>
        <v xml:space="preserve">75.04 </v>
      </c>
      <c r="T108" t="str">
        <f>IF(ISNUMBER(FIND("±", results!Q104)), LEFT(results!Q104, FIND("±", results!Q104) - 1), results!Q104)</f>
        <v>0.84</v>
      </c>
    </row>
    <row r="109" spans="4:20" ht="15.75" thickBot="1" x14ac:dyDescent="0.3">
      <c r="D109" s="4" t="s">
        <v>1041</v>
      </c>
    </row>
    <row r="110" spans="4:20" ht="15.75" thickBot="1" x14ac:dyDescent="0.3">
      <c r="D110" s="3" t="s">
        <v>1042</v>
      </c>
      <c r="E110" t="str">
        <f>IF(ISNUMBER(FIND("±", results!B106)), LEFT(results!B106, FIND("±", results!B106) - 1), results!B106)</f>
        <v xml:space="preserve">83.46 </v>
      </c>
      <c r="F110" t="str">
        <f>IF(ISNUMBER(FIND("±", results!C106)), LEFT(results!C106, FIND("±", results!C106) - 1), results!C106)</f>
        <v xml:space="preserve">17.62 </v>
      </c>
      <c r="G110" t="str">
        <f>IF(ISNUMBER(FIND("±", results!D106)), LEFT(results!D106, FIND("±", results!D106) - 1), results!D106)</f>
        <v xml:space="preserve">4.68 </v>
      </c>
      <c r="H110">
        <f>IF(ISNUMBER(FIND("±", results!E106)), LEFT(results!E106, FIND("±", results!E106) - 1), results!E106)</f>
        <v>1</v>
      </c>
      <c r="I110" t="str">
        <f>IF(ISNUMBER(FIND("±", results!F106)), LEFT(results!F106, FIND("±", results!F106) - 1), results!F106)</f>
        <v xml:space="preserve">83.46 </v>
      </c>
      <c r="J110" t="str">
        <f>IF(ISNUMBER(FIND("±", results!G106)), LEFT(results!G106, FIND("±", results!G106) - 1), results!G106)</f>
        <v xml:space="preserve">17.62 </v>
      </c>
      <c r="K110" t="str">
        <f>IF(ISNUMBER(FIND("±", results!H106)), LEFT(results!H106, FIND("±", results!H106) - 1), results!H106)</f>
        <v xml:space="preserve">4.88 </v>
      </c>
      <c r="L110">
        <f>IF(ISNUMBER(FIND("±", results!I106)), LEFT(results!I106, FIND("±", results!I106) - 1), results!I106)</f>
        <v>0.54</v>
      </c>
      <c r="M110" t="str">
        <f>IF(ISNUMBER(FIND("±", results!J106)), LEFT(results!J106, FIND("±", results!J106) - 1), results!J106)</f>
        <v xml:space="preserve">83.46 </v>
      </c>
      <c r="N110" t="str">
        <f>IF(ISNUMBER(FIND("±", results!K106)), LEFT(results!K106, FIND("±", results!K106) - 1), results!K106)</f>
        <v xml:space="preserve">17.62 </v>
      </c>
      <c r="O110" t="str">
        <f>IF(ISNUMBER(FIND("±", results!L106)), LEFT(results!L106, FIND("±", results!L106) - 1), results!L106)</f>
        <v xml:space="preserve">5.03 </v>
      </c>
      <c r="P110">
        <f>IF(ISNUMBER(FIND("±", results!M106)), LEFT(results!M106, FIND("±", results!M106) - 1), results!M106)</f>
        <v>0.94</v>
      </c>
      <c r="Q110" t="str">
        <f>IF(ISNUMBER(FIND("±", results!N106)), LEFT(results!N106, FIND("±", results!N106) - 1), results!N106)</f>
        <v xml:space="preserve">83.46 </v>
      </c>
      <c r="R110" t="str">
        <f>IF(ISNUMBER(FIND("±", results!O106)), LEFT(results!O106, FIND("±", results!O106) - 1), results!O106)</f>
        <v xml:space="preserve">17.62 </v>
      </c>
      <c r="S110" t="str">
        <f>IF(ISNUMBER(FIND("±", results!P106)), LEFT(results!P106, FIND("±", results!P106) - 1), results!P106)</f>
        <v xml:space="preserve">5.07 </v>
      </c>
      <c r="T110">
        <f>IF(ISNUMBER(FIND("±", results!Q106)), LEFT(results!Q106, FIND("±", results!Q106) - 1), results!Q106)</f>
        <v>0.94</v>
      </c>
    </row>
    <row r="111" spans="4:20" ht="15.75" thickBot="1" x14ac:dyDescent="0.3">
      <c r="D111" s="8" t="s">
        <v>1043</v>
      </c>
      <c r="E111" t="str">
        <f>IF(ISNUMBER(FIND("±", results!B107)), LEFT(results!B107, FIND("±", results!B107) - 1), results!B107)</f>
        <v xml:space="preserve">13.00 </v>
      </c>
      <c r="F111" t="str">
        <f>IF(ISNUMBER(FIND("±", results!C107)), LEFT(results!C107, FIND("±", results!C107) - 1), results!C107)</f>
        <v xml:space="preserve">2.58 </v>
      </c>
      <c r="G111" t="str">
        <f>IF(ISNUMBER(FIND("±", results!D107)), LEFT(results!D107, FIND("±", results!D107) - 1), results!D107)</f>
        <v xml:space="preserve">0.27 </v>
      </c>
      <c r="H111">
        <f>IF(ISNUMBER(FIND("±", results!E107)), LEFT(results!E107, FIND("±", results!E107) - 1), results!E107)</f>
        <v>0.84</v>
      </c>
      <c r="I111" t="str">
        <f>IF(ISNUMBER(FIND("±", results!F107)), LEFT(results!F107, FIND("±", results!F107) - 1), results!F107)</f>
        <v xml:space="preserve">13.00 </v>
      </c>
      <c r="J111" t="str">
        <f>IF(ISNUMBER(FIND("±", results!G107)), LEFT(results!G107, FIND("±", results!G107) - 1), results!G107)</f>
        <v xml:space="preserve">2.58 </v>
      </c>
      <c r="K111" t="str">
        <f>IF(ISNUMBER(FIND("±", results!H107)), LEFT(results!H107, FIND("±", results!H107) - 1), results!H107)</f>
        <v xml:space="preserve">0.23 </v>
      </c>
      <c r="L111">
        <f>IF(ISNUMBER(FIND("±", results!I107)), LEFT(results!I107, FIND("±", results!I107) - 1), results!I107)</f>
        <v>0.86</v>
      </c>
      <c r="M111" t="str">
        <f>IF(ISNUMBER(FIND("±", results!J107)), LEFT(results!J107, FIND("±", results!J107) - 1), results!J107)</f>
        <v xml:space="preserve">13.00 </v>
      </c>
      <c r="N111" t="str">
        <f>IF(ISNUMBER(FIND("±", results!K107)), LEFT(results!K107, FIND("±", results!K107) - 1), results!K107)</f>
        <v xml:space="preserve">2.58 </v>
      </c>
      <c r="O111" t="str">
        <f>IF(ISNUMBER(FIND("±", results!L107)), LEFT(results!L107, FIND("±", results!L107) - 1), results!L107)</f>
        <v xml:space="preserve">0.22 </v>
      </c>
      <c r="P111">
        <f>IF(ISNUMBER(FIND("±", results!M107)), LEFT(results!M107, FIND("±", results!M107) - 1), results!M107)</f>
        <v>0.84</v>
      </c>
      <c r="Q111" t="str">
        <f>IF(ISNUMBER(FIND("±", results!N107)), LEFT(results!N107, FIND("±", results!N107) - 1), results!N107)</f>
        <v xml:space="preserve">13.00 </v>
      </c>
      <c r="R111" t="str">
        <f>IF(ISNUMBER(FIND("±", results!O107)), LEFT(results!O107, FIND("±", results!O107) - 1), results!O107)</f>
        <v xml:space="preserve">2.58 </v>
      </c>
      <c r="S111" t="str">
        <f>IF(ISNUMBER(FIND("±", results!P107)), LEFT(results!P107, FIND("±", results!P107) - 1), results!P107)</f>
        <v xml:space="preserve">0.21 </v>
      </c>
      <c r="T111">
        <f>IF(ISNUMBER(FIND("±", results!Q107)), LEFT(results!Q107, FIND("±", results!Q107) - 1), results!Q107)</f>
        <v>0.84</v>
      </c>
    </row>
    <row r="112" spans="4:20" x14ac:dyDescent="0.25">
      <c r="D112" s="2" t="s">
        <v>1044</v>
      </c>
      <c r="E112" t="str">
        <f>IF(ISNUMBER(FIND("±", results!B108)), LEFT(results!B108, FIND("±", results!B108) - 1), results!B108)</f>
        <v xml:space="preserve">46.29 </v>
      </c>
      <c r="F112" t="str">
        <f>IF(ISNUMBER(FIND("±", results!C108)), LEFT(results!C108, FIND("±", results!C108) - 1), results!C108)</f>
        <v xml:space="preserve">23.86 </v>
      </c>
      <c r="G112" t="str">
        <f>IF(ISNUMBER(FIND("±", results!D108)), LEFT(results!D108, FIND("±", results!D108) - 1), results!D108)</f>
        <v xml:space="preserve">0.54 </v>
      </c>
      <c r="H112">
        <f>IF(ISNUMBER(FIND("±", results!E108)), LEFT(results!E108, FIND("±", results!E108) - 1), results!E108)</f>
        <v>0.74</v>
      </c>
      <c r="I112" t="str">
        <f>IF(ISNUMBER(FIND("±", results!F108)), LEFT(results!F108, FIND("±", results!F108) - 1), results!F108)</f>
        <v xml:space="preserve">46.29 </v>
      </c>
      <c r="J112" t="str">
        <f>IF(ISNUMBER(FIND("±", results!G108)), LEFT(results!G108, FIND("±", results!G108) - 1), results!G108)</f>
        <v xml:space="preserve">23.86 </v>
      </c>
      <c r="K112" t="str">
        <f>IF(ISNUMBER(FIND("±", results!H108)), LEFT(results!H108, FIND("±", results!H108) - 1), results!H108)</f>
        <v xml:space="preserve">0.53 </v>
      </c>
      <c r="L112">
        <f>IF(ISNUMBER(FIND("±", results!I108)), LEFT(results!I108, FIND("±", results!I108) - 1), results!I108)</f>
        <v>0.34</v>
      </c>
      <c r="M112" t="str">
        <f>IF(ISNUMBER(FIND("±", results!J108)), LEFT(results!J108, FIND("±", results!J108) - 1), results!J108)</f>
        <v xml:space="preserve">46.29 </v>
      </c>
      <c r="N112" t="str">
        <f>IF(ISNUMBER(FIND("±", results!K108)), LEFT(results!K108, FIND("±", results!K108) - 1), results!K108)</f>
        <v xml:space="preserve">23.86 </v>
      </c>
      <c r="O112" t="str">
        <f>IF(ISNUMBER(FIND("±", results!L108)), LEFT(results!L108, FIND("±", results!L108) - 1), results!L108)</f>
        <v xml:space="preserve">0.56 </v>
      </c>
      <c r="P112">
        <f>IF(ISNUMBER(FIND("±", results!M108)), LEFT(results!M108, FIND("±", results!M108) - 1), results!M108)</f>
        <v>0.88</v>
      </c>
      <c r="Q112" t="str">
        <f>IF(ISNUMBER(FIND("±", results!N108)), LEFT(results!N108, FIND("±", results!N108) - 1), results!N108)</f>
        <v xml:space="preserve">46.29 </v>
      </c>
      <c r="R112" t="str">
        <f>IF(ISNUMBER(FIND("±", results!O108)), LEFT(results!O108, FIND("±", results!O108) - 1), results!O108)</f>
        <v xml:space="preserve">23.86 </v>
      </c>
      <c r="S112" t="str">
        <f>IF(ISNUMBER(FIND("±", results!P108)), LEFT(results!P108, FIND("±", results!P108) - 1), results!P108)</f>
        <v xml:space="preserve">0.61 </v>
      </c>
      <c r="T112">
        <f>IF(ISNUMBER(FIND("±", results!Q108)), LEFT(results!Q108, FIND("±", results!Q108) - 1), results!Q108)</f>
        <v>0.86</v>
      </c>
    </row>
    <row r="113" spans="4:20" ht="15.75" thickBot="1" x14ac:dyDescent="0.3">
      <c r="D113" s="4" t="s">
        <v>1045</v>
      </c>
      <c r="E113" t="str">
        <f>IF(ISNUMBER(FIND("±", results!B109)), LEFT(results!B109, FIND("±", results!B109) - 1), results!B109)</f>
        <v xml:space="preserve">154.25 </v>
      </c>
      <c r="F113" t="str">
        <f>IF(ISNUMBER(FIND("±", results!C109)), LEFT(results!C109, FIND("±", results!C109) - 1), results!C109)</f>
        <v xml:space="preserve">92.58 </v>
      </c>
      <c r="G113" t="str">
        <f>IF(ISNUMBER(FIND("±", results!D109)), LEFT(results!D109, FIND("±", results!D109) - 1), results!D109)</f>
        <v xml:space="preserve">10.65 </v>
      </c>
      <c r="H113" t="str">
        <f>IF(ISNUMBER(FIND("±", results!E109)), LEFT(results!E109, FIND("±", results!E109) - 1), results!E109)</f>
        <v>0.64</v>
      </c>
      <c r="I113" t="str">
        <f>IF(ISNUMBER(FIND("±", results!F109)), LEFT(results!F109, FIND("±", results!F109) - 1), results!F109)</f>
        <v xml:space="preserve">132.42 </v>
      </c>
      <c r="J113" t="str">
        <f>IF(ISNUMBER(FIND("±", results!G109)), LEFT(results!G109, FIND("±", results!G109) - 1), results!G109)</f>
        <v xml:space="preserve">78.92 </v>
      </c>
      <c r="K113" t="str">
        <f>IF(ISNUMBER(FIND("±", results!H109)), LEFT(results!H109, FIND("±", results!H109) - 1), results!H109)</f>
        <v xml:space="preserve">8.64 </v>
      </c>
      <c r="L113" t="str">
        <f>IF(ISNUMBER(FIND("±", results!I109)), LEFT(results!I109, FIND("±", results!I109) - 1), results!I109)</f>
        <v>0.58</v>
      </c>
      <c r="M113" t="str">
        <f>IF(ISNUMBER(FIND("±", results!J109)), LEFT(results!J109, FIND("±", results!J109) - 1), results!J109)</f>
        <v xml:space="preserve">154.08 </v>
      </c>
      <c r="N113" t="str">
        <f>IF(ISNUMBER(FIND("±", results!K109)), LEFT(results!K109, FIND("±", results!K109) - 1), results!K109)</f>
        <v xml:space="preserve">92.75 </v>
      </c>
      <c r="O113" t="str">
        <f>IF(ISNUMBER(FIND("±", results!L109)), LEFT(results!L109, FIND("±", results!L109) - 1), results!L109)</f>
        <v xml:space="preserve">11.07 </v>
      </c>
      <c r="P113" t="str">
        <f>IF(ISNUMBER(FIND("±", results!M109)), LEFT(results!M109, FIND("±", results!M109) - 1), results!M109)</f>
        <v>0.72</v>
      </c>
      <c r="Q113" t="str">
        <f>IF(ISNUMBER(FIND("±", results!N109)), LEFT(results!N109, FIND("±", results!N109) - 1), results!N109)</f>
        <v xml:space="preserve">150.67 </v>
      </c>
      <c r="R113" t="str">
        <f>IF(ISNUMBER(FIND("±", results!O109)), LEFT(results!O109, FIND("±", results!O109) - 1), results!O109)</f>
        <v xml:space="preserve">85.08 </v>
      </c>
      <c r="S113" t="str">
        <f>IF(ISNUMBER(FIND("±", results!P109)), LEFT(results!P109, FIND("±", results!P109) - 1), results!P109)</f>
        <v xml:space="preserve">22.28 </v>
      </c>
      <c r="T113" t="str">
        <f>IF(ISNUMBER(FIND("±", results!Q109)), LEFT(results!Q109, FIND("±", results!Q109) - 1), results!Q109)</f>
        <v>0.80</v>
      </c>
    </row>
    <row r="114" spans="4:20" x14ac:dyDescent="0.25">
      <c r="D114" s="2" t="s">
        <v>1046</v>
      </c>
      <c r="E114" t="str">
        <f>IF(ISNUMBER(FIND("±", results!B110)), LEFT(results!B110, FIND("±", results!B110) - 1), results!B110)</f>
        <v xml:space="preserve">93.80 </v>
      </c>
      <c r="F114" t="str">
        <f>IF(ISNUMBER(FIND("±", results!C110)), LEFT(results!C110, FIND("±", results!C110) - 1), results!C110)</f>
        <v xml:space="preserve">15.54 </v>
      </c>
      <c r="G114" t="str">
        <f>IF(ISNUMBER(FIND("±", results!D110)), LEFT(results!D110, FIND("±", results!D110) - 1), results!D110)</f>
        <v xml:space="preserve">2.39 </v>
      </c>
      <c r="H114">
        <f>IF(ISNUMBER(FIND("±", results!E110)), LEFT(results!E110, FIND("±", results!E110) - 1), results!E110)</f>
        <v>0.96</v>
      </c>
      <c r="I114" t="str">
        <f>IF(ISNUMBER(FIND("±", results!F110)), LEFT(results!F110, FIND("±", results!F110) - 1), results!F110)</f>
        <v xml:space="preserve">93.03 </v>
      </c>
      <c r="J114" t="str">
        <f>IF(ISNUMBER(FIND("±", results!G110)), LEFT(results!G110, FIND("±", results!G110) - 1), results!G110)</f>
        <v xml:space="preserve">15.69 </v>
      </c>
      <c r="K114" t="str">
        <f>IF(ISNUMBER(FIND("±", results!H110)), LEFT(results!H110, FIND("±", results!H110) - 1), results!H110)</f>
        <v xml:space="preserve">2.59 </v>
      </c>
      <c r="L114">
        <f>IF(ISNUMBER(FIND("±", results!I110)), LEFT(results!I110, FIND("±", results!I110) - 1), results!I110)</f>
        <v>0.88</v>
      </c>
      <c r="M114" t="str">
        <f>IF(ISNUMBER(FIND("±", results!J110)), LEFT(results!J110, FIND("±", results!J110) - 1), results!J110)</f>
        <v xml:space="preserve">94.26 </v>
      </c>
      <c r="N114" t="str">
        <f>IF(ISNUMBER(FIND("±", results!K110)), LEFT(results!K110, FIND("±", results!K110) - 1), results!K110)</f>
        <v xml:space="preserve">15.54 </v>
      </c>
      <c r="O114" t="str">
        <f>IF(ISNUMBER(FIND("±", results!L110)), LEFT(results!L110, FIND("±", results!L110) - 1), results!L110)</f>
        <v xml:space="preserve">2.71 </v>
      </c>
      <c r="P114">
        <f>IF(ISNUMBER(FIND("±", results!M110)), LEFT(results!M110, FIND("±", results!M110) - 1), results!M110)</f>
        <v>0.96</v>
      </c>
      <c r="Q114" t="str">
        <f>IF(ISNUMBER(FIND("±", results!N110)), LEFT(results!N110, FIND("±", results!N110) - 1), results!N110)</f>
        <v xml:space="preserve">93.57 </v>
      </c>
      <c r="R114" t="str">
        <f>IF(ISNUMBER(FIND("±", results!O110)), LEFT(results!O110, FIND("±", results!O110) - 1), results!O110)</f>
        <v xml:space="preserve">15.54 </v>
      </c>
      <c r="S114" t="str">
        <f>IF(ISNUMBER(FIND("±", results!P110)), LEFT(results!P110, FIND("±", results!P110) - 1), results!P110)</f>
        <v xml:space="preserve">2.75 </v>
      </c>
      <c r="T114">
        <f>IF(ISNUMBER(FIND("±", results!Q110)), LEFT(results!Q110, FIND("±", results!Q110) - 1), results!Q110)</f>
        <v>0.94</v>
      </c>
    </row>
    <row r="115" spans="4:20" ht="15.75" thickBot="1" x14ac:dyDescent="0.3">
      <c r="D115" s="4" t="s">
        <v>1047</v>
      </c>
      <c r="E115" t="str">
        <f>IF(ISNUMBER(FIND("±", results!B111)), LEFT(results!B111, FIND("±", results!B111) - 1), results!B111)</f>
        <v xml:space="preserve">151.67 </v>
      </c>
      <c r="F115" t="str">
        <f>IF(ISNUMBER(FIND("±", results!C111)), LEFT(results!C111, FIND("±", results!C111) - 1), results!C111)</f>
        <v xml:space="preserve">31.58 </v>
      </c>
      <c r="G115" t="str">
        <f>IF(ISNUMBER(FIND("±", results!D111)), LEFT(results!D111, FIND("±", results!D111) - 1), results!D111)</f>
        <v xml:space="preserve">12.72 </v>
      </c>
      <c r="H115">
        <f>IF(ISNUMBER(FIND("±", results!E111)), LEFT(results!E111, FIND("±", results!E111) - 1), results!E111)</f>
        <v>0.86</v>
      </c>
      <c r="I115" t="str">
        <f>IF(ISNUMBER(FIND("±", results!F111)), LEFT(results!F111, FIND("±", results!F111) - 1), results!F111)</f>
        <v xml:space="preserve">164.67 </v>
      </c>
      <c r="J115" t="str">
        <f>IF(ISNUMBER(FIND("±", results!G111)), LEFT(results!G111, FIND("±", results!G111) - 1), results!G111)</f>
        <v xml:space="preserve">34.21 </v>
      </c>
      <c r="K115" t="str">
        <f>IF(ISNUMBER(FIND("±", results!H111)), LEFT(results!H111, FIND("±", results!H111) - 1), results!H111)</f>
        <v xml:space="preserve">16.19 </v>
      </c>
      <c r="L115">
        <f>IF(ISNUMBER(FIND("±", results!I111)), LEFT(results!I111, FIND("±", results!I111) - 1), results!I111)</f>
        <v>0.64</v>
      </c>
      <c r="M115" t="str">
        <f>IF(ISNUMBER(FIND("±", results!J111)), LEFT(results!J111, FIND("±", results!J111) - 1), results!J111)</f>
        <v xml:space="preserve">148.33 </v>
      </c>
      <c r="N115" t="str">
        <f>IF(ISNUMBER(FIND("±", results!K111)), LEFT(results!K111, FIND("±", results!K111) - 1), results!K111)</f>
        <v xml:space="preserve">28.71 </v>
      </c>
      <c r="O115" t="str">
        <f>IF(ISNUMBER(FIND("±", results!L111)), LEFT(results!L111, FIND("±", results!L111) - 1), results!L111)</f>
        <v xml:space="preserve">16.96 </v>
      </c>
      <c r="P115">
        <f>IF(ISNUMBER(FIND("±", results!M111)), LEFT(results!M111, FIND("±", results!M111) - 1), results!M111)</f>
        <v>0.7</v>
      </c>
      <c r="Q115" t="str">
        <f>IF(ISNUMBER(FIND("±", results!N111)), LEFT(results!N111, FIND("±", results!N111) - 1), results!N111)</f>
        <v xml:space="preserve">170.25 </v>
      </c>
      <c r="R115" t="str">
        <f>IF(ISNUMBER(FIND("±", results!O111)), LEFT(results!O111, FIND("±", results!O111) - 1), results!O111)</f>
        <v xml:space="preserve">33.54 </v>
      </c>
      <c r="S115" t="str">
        <f>IF(ISNUMBER(FIND("±", results!P111)), LEFT(results!P111, FIND("±", results!P111) - 1), results!P111)</f>
        <v xml:space="preserve">25.84 </v>
      </c>
      <c r="T115">
        <f>IF(ISNUMBER(FIND("±", results!Q111)), LEFT(results!Q111, FIND("±", results!Q111) - 1), results!Q111)</f>
        <v>0.62</v>
      </c>
    </row>
    <row r="118" spans="4:20" ht="15.75" thickBot="1" x14ac:dyDescent="0.3"/>
    <row r="119" spans="4:20" ht="15.75" thickBot="1" x14ac:dyDescent="0.3">
      <c r="D119" s="217" t="s">
        <v>803</v>
      </c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9"/>
    </row>
    <row r="120" spans="4:20" x14ac:dyDescent="0.25">
      <c r="D120" s="222" t="s">
        <v>1035</v>
      </c>
      <c r="E120" s="220" t="s">
        <v>276</v>
      </c>
      <c r="F120" s="221"/>
      <c r="G120" s="221"/>
      <c r="H120" s="224"/>
      <c r="I120" s="214" t="s">
        <v>335</v>
      </c>
      <c r="J120" s="216"/>
      <c r="K120" s="216"/>
      <c r="L120" s="215"/>
      <c r="M120" s="214" t="s">
        <v>336</v>
      </c>
      <c r="N120" s="216"/>
      <c r="O120" s="216"/>
      <c r="P120" s="215"/>
      <c r="Q120" s="214" t="s">
        <v>337</v>
      </c>
      <c r="R120" s="216"/>
      <c r="S120" s="216"/>
      <c r="T120" s="215"/>
    </row>
    <row r="121" spans="4:20" ht="15.75" thickBot="1" x14ac:dyDescent="0.3">
      <c r="D121" s="223"/>
      <c r="E121" s="3" t="s">
        <v>47</v>
      </c>
      <c r="F121" s="15" t="s">
        <v>1048</v>
      </c>
      <c r="G121" t="s">
        <v>48</v>
      </c>
      <c r="H121" t="s">
        <v>621</v>
      </c>
      <c r="I121" s="3" t="s">
        <v>47</v>
      </c>
      <c r="J121" s="15" t="s">
        <v>1048</v>
      </c>
      <c r="K121" t="s">
        <v>48</v>
      </c>
      <c r="L121" t="s">
        <v>621</v>
      </c>
      <c r="M121" t="s">
        <v>47</v>
      </c>
      <c r="N121" s="15" t="s">
        <v>1048</v>
      </c>
      <c r="O121" t="s">
        <v>48</v>
      </c>
      <c r="P121" t="s">
        <v>621</v>
      </c>
      <c r="Q121" t="s">
        <v>47</v>
      </c>
      <c r="R121" s="15" t="s">
        <v>1048</v>
      </c>
      <c r="S121" t="s">
        <v>48</v>
      </c>
      <c r="T121" t="s">
        <v>621</v>
      </c>
    </row>
    <row r="122" spans="4:20" x14ac:dyDescent="0.25">
      <c r="D122" s="2" t="s">
        <v>1036</v>
      </c>
    </row>
    <row r="123" spans="4:20" x14ac:dyDescent="0.25">
      <c r="D123" s="3" t="s">
        <v>1037</v>
      </c>
    </row>
    <row r="124" spans="4:20" ht="15.75" thickBot="1" x14ac:dyDescent="0.3">
      <c r="D124" s="4" t="s">
        <v>1038</v>
      </c>
    </row>
    <row r="125" spans="4:20" x14ac:dyDescent="0.25">
      <c r="D125" s="3" t="s">
        <v>1039</v>
      </c>
      <c r="E125" t="str">
        <f>IF(ISNUMBER(FIND("±", results!B121)), LEFT(results!B121, FIND("±", results!B121) - 1), results!B121)</f>
        <v xml:space="preserve">797.95 </v>
      </c>
      <c r="F125" t="str">
        <f>IF(ISNUMBER(FIND("±", results!C121)), LEFT(results!C121, FIND("±", results!C121) - 1), results!C121)</f>
        <v xml:space="preserve">0.65 </v>
      </c>
      <c r="G125" t="str">
        <f>IF(ISNUMBER(FIND("±", results!D121)), LEFT(results!D121, FIND("±", results!D121) - 1), results!D121)</f>
        <v xml:space="preserve">59.90 </v>
      </c>
      <c r="H125" t="str">
        <f>IF(ISNUMBER(FIND("±", results!E121)), LEFT(results!E121, FIND("±", results!E121) - 1), results!E121)</f>
        <v>0.42</v>
      </c>
      <c r="I125" t="str">
        <f>IF(ISNUMBER(FIND("±", results!F121)), LEFT(results!F121, FIND("±", results!F121) - 1), results!F121)</f>
        <v xml:space="preserve">797.95 </v>
      </c>
      <c r="J125" t="str">
        <f>IF(ISNUMBER(FIND("±", results!G121)), LEFT(results!G121, FIND("±", results!G121) - 1), results!G121)</f>
        <v xml:space="preserve">0.65 </v>
      </c>
      <c r="K125" t="str">
        <f>IF(ISNUMBER(FIND("±", results!H121)), LEFT(results!H121, FIND("±", results!H121) - 1), results!H121)</f>
        <v xml:space="preserve">61.39 </v>
      </c>
      <c r="L125" t="str">
        <f>IF(ISNUMBER(FIND("±", results!I121)), LEFT(results!I121, FIND("±", results!I121) - 1), results!I121)</f>
        <v>0.90</v>
      </c>
      <c r="M125" t="str">
        <f>IF(ISNUMBER(FIND("±", results!J121)), LEFT(results!J121, FIND("±", results!J121) - 1), results!J121)</f>
        <v xml:space="preserve">797.95 </v>
      </c>
      <c r="N125" t="str">
        <f>IF(ISNUMBER(FIND("±", results!K121)), LEFT(results!K121, FIND("±", results!K121) - 1), results!K121)</f>
        <v xml:space="preserve">0.65 </v>
      </c>
      <c r="O125" t="str">
        <f>IF(ISNUMBER(FIND("±", results!L121)), LEFT(results!L121, FIND("±", results!L121) - 1), results!L121)</f>
        <v xml:space="preserve">61.76 </v>
      </c>
      <c r="P125" t="str">
        <f>IF(ISNUMBER(FIND("±", results!M121)), LEFT(results!M121, FIND("±", results!M121) - 1), results!M121)</f>
        <v>0.98</v>
      </c>
      <c r="Q125" t="str">
        <f>IF(ISNUMBER(FIND("±", results!N121)), LEFT(results!N121, FIND("±", results!N121) - 1), results!N121)</f>
        <v xml:space="preserve">797.95 </v>
      </c>
      <c r="R125" t="str">
        <f>IF(ISNUMBER(FIND("±", results!O121)), LEFT(results!O121, FIND("±", results!O121) - 1), results!O121)</f>
        <v xml:space="preserve">0.65 </v>
      </c>
      <c r="S125" t="str">
        <f>IF(ISNUMBER(FIND("±", results!P121)), LEFT(results!P121, FIND("±", results!P121) - 1), results!P121)</f>
        <v xml:space="preserve">62.43 </v>
      </c>
      <c r="T125" t="str">
        <f>IF(ISNUMBER(FIND("±", results!Q121)), LEFT(results!Q121, FIND("±", results!Q121) - 1), results!Q121)</f>
        <v>0.96</v>
      </c>
    </row>
    <row r="126" spans="4:20" x14ac:dyDescent="0.25">
      <c r="D126" s="3" t="s">
        <v>1040</v>
      </c>
      <c r="E126" t="str">
        <f>IF(ISNUMBER(FIND("±", results!B122)), LEFT(results!B122, FIND("±", results!B122) - 1), results!B122)</f>
        <v xml:space="preserve">499.67 </v>
      </c>
      <c r="F126" t="str">
        <f>IF(ISNUMBER(FIND("±", results!C122)), LEFT(results!C122, FIND("±", results!C122) - 1), results!C122)</f>
        <v xml:space="preserve">0.25 </v>
      </c>
      <c r="G126" t="str">
        <f>IF(ISNUMBER(FIND("±", results!D122)), LEFT(results!D122, FIND("±", results!D122) - 1), results!D122)</f>
        <v xml:space="preserve">77.34 </v>
      </c>
      <c r="H126" t="str">
        <f>IF(ISNUMBER(FIND("±", results!E122)), LEFT(results!E122, FIND("±", results!E122) - 1), results!E122)</f>
        <v>0.48</v>
      </c>
      <c r="I126" t="str">
        <f>IF(ISNUMBER(FIND("±", results!F122)), LEFT(results!F122, FIND("±", results!F122) - 1), results!F122)</f>
        <v xml:space="preserve">499.67 </v>
      </c>
      <c r="J126" t="str">
        <f>IF(ISNUMBER(FIND("±", results!G122)), LEFT(results!G122, FIND("±", results!G122) - 1), results!G122)</f>
        <v xml:space="preserve">0.25 </v>
      </c>
      <c r="K126" t="str">
        <f>IF(ISNUMBER(FIND("±", results!H122)), LEFT(results!H122, FIND("±", results!H122) - 1), results!H122)</f>
        <v xml:space="preserve">76.19 </v>
      </c>
      <c r="L126" t="str">
        <f>IF(ISNUMBER(FIND("±", results!I122)), LEFT(results!I122, FIND("±", results!I122) - 1), results!I122)</f>
        <v>0.96</v>
      </c>
      <c r="M126" t="str">
        <f>IF(ISNUMBER(FIND("±", results!J122)), LEFT(results!J122, FIND("±", results!J122) - 1), results!J122)</f>
        <v xml:space="preserve">499.67 </v>
      </c>
      <c r="N126" t="str">
        <f>IF(ISNUMBER(FIND("±", results!K122)), LEFT(results!K122, FIND("±", results!K122) - 1), results!K122)</f>
        <v xml:space="preserve">0.25 </v>
      </c>
      <c r="O126" t="str">
        <f>IF(ISNUMBER(FIND("±", results!L122)), LEFT(results!L122, FIND("±", results!L122) - 1), results!L122)</f>
        <v xml:space="preserve">76.23 </v>
      </c>
      <c r="P126" t="str">
        <f>IF(ISNUMBER(FIND("±", results!M122)), LEFT(results!M122, FIND("±", results!M122) - 1), results!M122)</f>
        <v>0.98</v>
      </c>
      <c r="Q126" t="str">
        <f>IF(ISNUMBER(FIND("±", results!N122)), LEFT(results!N122, FIND("±", results!N122) - 1), results!N122)</f>
        <v xml:space="preserve">499.67 </v>
      </c>
      <c r="R126" t="str">
        <f>IF(ISNUMBER(FIND("±", results!O122)), LEFT(results!O122, FIND("±", results!O122) - 1), results!O122)</f>
        <v xml:space="preserve">0.25 </v>
      </c>
      <c r="S126" t="str">
        <f>IF(ISNUMBER(FIND("±", results!P122)), LEFT(results!P122, FIND("±", results!P122) - 1), results!P122)</f>
        <v xml:space="preserve">77.98 </v>
      </c>
      <c r="T126" t="str">
        <f>IF(ISNUMBER(FIND("±", results!Q122)), LEFT(results!Q122, FIND("±", results!Q122) - 1), results!Q122)</f>
        <v>1.00</v>
      </c>
    </row>
    <row r="127" spans="4:20" ht="15.75" thickBot="1" x14ac:dyDescent="0.3">
      <c r="D127" s="4" t="s">
        <v>1041</v>
      </c>
    </row>
    <row r="128" spans="4:20" ht="15.75" thickBot="1" x14ac:dyDescent="0.3">
      <c r="D128" s="3" t="s">
        <v>1042</v>
      </c>
      <c r="E128" t="str">
        <f>IF(ISNUMBER(FIND("±", results!B124)), LEFT(results!B124, FIND("±", results!B124) - 1), results!B124)</f>
        <v xml:space="preserve">83.46 </v>
      </c>
      <c r="F128" t="str">
        <f>IF(ISNUMBER(FIND("±", results!C124)), LEFT(results!C124, FIND("±", results!C124) - 1), results!C124)</f>
        <v xml:space="preserve">17.62 </v>
      </c>
      <c r="G128" t="str">
        <f>IF(ISNUMBER(FIND("±", results!D124)), LEFT(results!D124, FIND("±", results!D124) - 1), results!D124)</f>
        <v xml:space="preserve">4.96 </v>
      </c>
      <c r="H128">
        <f>IF(ISNUMBER(FIND("±", results!E124)), LEFT(results!E124, FIND("±", results!E124) - 1), results!E124)</f>
        <v>0.28000000000000003</v>
      </c>
      <c r="I128" t="str">
        <f>IF(ISNUMBER(FIND("±", results!F124)), LEFT(results!F124, FIND("±", results!F124) - 1), results!F124)</f>
        <v xml:space="preserve">83.46 </v>
      </c>
      <c r="J128" t="str">
        <f>IF(ISNUMBER(FIND("±", results!G124)), LEFT(results!G124, FIND("±", results!G124) - 1), results!G124)</f>
        <v xml:space="preserve">17.62 </v>
      </c>
      <c r="K128" t="str">
        <f>IF(ISNUMBER(FIND("±", results!H124)), LEFT(results!H124, FIND("±", results!H124) - 1), results!H124)</f>
        <v xml:space="preserve">5.10 </v>
      </c>
      <c r="L128">
        <f>IF(ISNUMBER(FIND("±", results!I124)), LEFT(results!I124, FIND("±", results!I124) - 1), results!I124)</f>
        <v>0.4</v>
      </c>
      <c r="M128" t="str">
        <f>IF(ISNUMBER(FIND("±", results!J124)), LEFT(results!J124, FIND("±", results!J124) - 1), results!J124)</f>
        <v xml:space="preserve">83.46 </v>
      </c>
      <c r="N128" t="str">
        <f>IF(ISNUMBER(FIND("±", results!K124)), LEFT(results!K124, FIND("±", results!K124) - 1), results!K124)</f>
        <v xml:space="preserve">17.62 </v>
      </c>
      <c r="O128" t="str">
        <f>IF(ISNUMBER(FIND("±", results!L124)), LEFT(results!L124, FIND("±", results!L124) - 1), results!L124)</f>
        <v xml:space="preserve">5.08 </v>
      </c>
      <c r="P128">
        <f>IF(ISNUMBER(FIND("±", results!M124)), LEFT(results!M124, FIND("±", results!M124) - 1), results!M124)</f>
        <v>0.96</v>
      </c>
      <c r="Q128" t="str">
        <f>IF(ISNUMBER(FIND("±", results!N124)), LEFT(results!N124, FIND("±", results!N124) - 1), results!N124)</f>
        <v xml:space="preserve">83.46 </v>
      </c>
      <c r="R128" t="str">
        <f>IF(ISNUMBER(FIND("±", results!O124)), LEFT(results!O124, FIND("±", results!O124) - 1), results!O124)</f>
        <v xml:space="preserve">17.62 </v>
      </c>
      <c r="S128" t="str">
        <f>IF(ISNUMBER(FIND("±", results!P124)), LEFT(results!P124, FIND("±", results!P124) - 1), results!P124)</f>
        <v xml:space="preserve">5.23 </v>
      </c>
      <c r="T128">
        <f>IF(ISNUMBER(FIND("±", results!Q124)), LEFT(results!Q124, FIND("±", results!Q124) - 1), results!Q124)</f>
        <v>0.96</v>
      </c>
    </row>
    <row r="129" spans="4:34" ht="15.75" thickBot="1" x14ac:dyDescent="0.3">
      <c r="D129" s="8" t="s">
        <v>1043</v>
      </c>
      <c r="E129" t="str">
        <f>IF(ISNUMBER(FIND("±", results!B125)), LEFT(results!B125, FIND("±", results!B125) - 1), results!B125)</f>
        <v xml:space="preserve">13.00 </v>
      </c>
      <c r="F129" t="str">
        <f>IF(ISNUMBER(FIND("±", results!C125)), LEFT(results!C125, FIND("±", results!C125) - 1), results!C125)</f>
        <v xml:space="preserve">2.58 </v>
      </c>
      <c r="G129" t="str">
        <f>IF(ISNUMBER(FIND("±", results!D125)), LEFT(results!D125, FIND("±", results!D125) - 1), results!D125)</f>
        <v xml:space="preserve">0.22 </v>
      </c>
      <c r="H129">
        <f>IF(ISNUMBER(FIND("±", results!E125)), LEFT(results!E125, FIND("±", results!E125) - 1), results!E125)</f>
        <v>0.66</v>
      </c>
      <c r="I129" t="str">
        <f>IF(ISNUMBER(FIND("±", results!F125)), LEFT(results!F125, FIND("±", results!F125) - 1), results!F125)</f>
        <v xml:space="preserve">13.00 </v>
      </c>
      <c r="J129" t="str">
        <f>IF(ISNUMBER(FIND("±", results!G125)), LEFT(results!G125, FIND("±", results!G125) - 1), results!G125)</f>
        <v xml:space="preserve">2.58 </v>
      </c>
      <c r="K129" t="str">
        <f>IF(ISNUMBER(FIND("±", results!H125)), LEFT(results!H125, FIND("±", results!H125) - 1), results!H125)</f>
        <v xml:space="preserve">0.23 </v>
      </c>
      <c r="L129">
        <f>IF(ISNUMBER(FIND("±", results!I125)), LEFT(results!I125, FIND("±", results!I125) - 1), results!I125)</f>
        <v>0.86</v>
      </c>
      <c r="M129" t="str">
        <f>IF(ISNUMBER(FIND("±", results!J125)), LEFT(results!J125, FIND("±", results!J125) - 1), results!J125)</f>
        <v xml:space="preserve">13.00 </v>
      </c>
      <c r="N129" t="str">
        <f>IF(ISNUMBER(FIND("±", results!K125)), LEFT(results!K125, FIND("±", results!K125) - 1), results!K125)</f>
        <v xml:space="preserve">2.58 </v>
      </c>
      <c r="O129" t="str">
        <f>IF(ISNUMBER(FIND("±", results!L125)), LEFT(results!L125, FIND("±", results!L125) - 1), results!L125)</f>
        <v xml:space="preserve">0.24 </v>
      </c>
      <c r="P129">
        <f>IF(ISNUMBER(FIND("±", results!M125)), LEFT(results!M125, FIND("±", results!M125) - 1), results!M125)</f>
        <v>0.88</v>
      </c>
      <c r="Q129" t="str">
        <f>IF(ISNUMBER(FIND("±", results!N125)), LEFT(results!N125, FIND("±", results!N125) - 1), results!N125)</f>
        <v xml:space="preserve">13.00 </v>
      </c>
      <c r="R129" t="str">
        <f>IF(ISNUMBER(FIND("±", results!O125)), LEFT(results!O125, FIND("±", results!O125) - 1), results!O125)</f>
        <v xml:space="preserve">2.58 </v>
      </c>
      <c r="S129" t="str">
        <f>IF(ISNUMBER(FIND("±", results!P125)), LEFT(results!P125, FIND("±", results!P125) - 1), results!P125)</f>
        <v xml:space="preserve">0.25 </v>
      </c>
      <c r="T129">
        <f>IF(ISNUMBER(FIND("±", results!Q125)), LEFT(results!Q125, FIND("±", results!Q125) - 1), results!Q125)</f>
        <v>0.88</v>
      </c>
    </row>
    <row r="130" spans="4:34" x14ac:dyDescent="0.25">
      <c r="D130" s="2" t="s">
        <v>1044</v>
      </c>
      <c r="E130" t="str">
        <f>IF(ISNUMBER(FIND("±", results!B126)), LEFT(results!B126, FIND("±", results!B126) - 1), results!B126)</f>
        <v xml:space="preserve">46.29 </v>
      </c>
      <c r="F130" t="str">
        <f>IF(ISNUMBER(FIND("±", results!C126)), LEFT(results!C126, FIND("±", results!C126) - 1), results!C126)</f>
        <v xml:space="preserve">23.86 </v>
      </c>
      <c r="G130" t="str">
        <f>IF(ISNUMBER(FIND("±", results!D126)), LEFT(results!D126, FIND("±", results!D126) - 1), results!D126)</f>
        <v xml:space="preserve">0.52 </v>
      </c>
      <c r="H130">
        <f>IF(ISNUMBER(FIND("±", results!E126)), LEFT(results!E126, FIND("±", results!E126) - 1), results!E126)</f>
        <v>0.22</v>
      </c>
      <c r="I130" t="str">
        <f>IF(ISNUMBER(FIND("±", results!F126)), LEFT(results!F126, FIND("±", results!F126) - 1), results!F126)</f>
        <v xml:space="preserve">46.29 </v>
      </c>
      <c r="J130" t="str">
        <f>IF(ISNUMBER(FIND("±", results!G126)), LEFT(results!G126, FIND("±", results!G126) - 1), results!G126)</f>
        <v xml:space="preserve">23.86 </v>
      </c>
      <c r="K130" t="str">
        <f>IF(ISNUMBER(FIND("±", results!H126)), LEFT(results!H126, FIND("±", results!H126) - 1), results!H126)</f>
        <v xml:space="preserve">0.64 </v>
      </c>
      <c r="L130">
        <f>IF(ISNUMBER(FIND("±", results!I126)), LEFT(results!I126, FIND("±", results!I126) - 1), results!I126)</f>
        <v>0.98</v>
      </c>
      <c r="M130" t="str">
        <f>IF(ISNUMBER(FIND("±", results!J126)), LEFT(results!J126, FIND("±", results!J126) - 1), results!J126)</f>
        <v xml:space="preserve">46.29 </v>
      </c>
      <c r="N130" t="str">
        <f>IF(ISNUMBER(FIND("±", results!K126)), LEFT(results!K126, FIND("±", results!K126) - 1), results!K126)</f>
        <v xml:space="preserve">23.86 </v>
      </c>
      <c r="O130" t="str">
        <f>IF(ISNUMBER(FIND("±", results!L126)), LEFT(results!L126, FIND("±", results!L126) - 1), results!L126)</f>
        <v xml:space="preserve">0.61 </v>
      </c>
      <c r="P130">
        <f>IF(ISNUMBER(FIND("±", results!M126)), LEFT(results!M126, FIND("±", results!M126) - 1), results!M126)</f>
        <v>0.98</v>
      </c>
      <c r="Q130" t="str">
        <f>IF(ISNUMBER(FIND("±", results!N126)), LEFT(results!N126, FIND("±", results!N126) - 1), results!N126)</f>
        <v xml:space="preserve">46.29 </v>
      </c>
      <c r="R130" t="str">
        <f>IF(ISNUMBER(FIND("±", results!O126)), LEFT(results!O126, FIND("±", results!O126) - 1), results!O126)</f>
        <v xml:space="preserve">23.86 </v>
      </c>
      <c r="S130" t="str">
        <f>IF(ISNUMBER(FIND("±", results!P126)), LEFT(results!P126, FIND("±", results!P126) - 1), results!P126)</f>
        <v xml:space="preserve">0.62 </v>
      </c>
      <c r="T130">
        <f>IF(ISNUMBER(FIND("±", results!Q126)), LEFT(results!Q126, FIND("±", results!Q126) - 1), results!Q126)</f>
        <v>0.98</v>
      </c>
    </row>
    <row r="131" spans="4:34" ht="15.75" thickBot="1" x14ac:dyDescent="0.3">
      <c r="D131" s="4" t="s">
        <v>1045</v>
      </c>
      <c r="E131" t="str">
        <f>IF(ISNUMBER(FIND("±", results!B127)), LEFT(results!B127, FIND("±", results!B127) - 1), results!B127)</f>
        <v xml:space="preserve">140.33 </v>
      </c>
      <c r="F131" t="str">
        <f>IF(ISNUMBER(FIND("±", results!C127)), LEFT(results!C127, FIND("±", results!C127) - 1), results!C127)</f>
        <v xml:space="preserve">84.42 </v>
      </c>
      <c r="G131" t="str">
        <f>IF(ISNUMBER(FIND("±", results!D127)), LEFT(results!D127, FIND("±", results!D127) - 1), results!D127)</f>
        <v xml:space="preserve">9.79 </v>
      </c>
      <c r="H131" t="str">
        <f>IF(ISNUMBER(FIND("±", results!E127)), LEFT(results!E127, FIND("±", results!E127) - 1), results!E127)</f>
        <v>0.30</v>
      </c>
      <c r="I131" t="str">
        <f>IF(ISNUMBER(FIND("±", results!F127)), LEFT(results!F127, FIND("±", results!F127) - 1), results!F127)</f>
        <v xml:space="preserve">135.92 </v>
      </c>
      <c r="J131" t="str">
        <f>IF(ISNUMBER(FIND("±", results!G127)), LEFT(results!G127, FIND("±", results!G127) - 1), results!G127)</f>
        <v xml:space="preserve">81.42 </v>
      </c>
      <c r="K131" t="str">
        <f>IF(ISNUMBER(FIND("±", results!H127)), LEFT(results!H127, FIND("±", results!H127) - 1), results!H127)</f>
        <v xml:space="preserve">8.93 </v>
      </c>
      <c r="L131" t="str">
        <f>IF(ISNUMBER(FIND("±", results!I127)), LEFT(results!I127, FIND("±", results!I127) - 1), results!I127)</f>
        <v>0.70</v>
      </c>
      <c r="M131" t="str">
        <f>IF(ISNUMBER(FIND("±", results!J127)), LEFT(results!J127, FIND("±", results!J127) - 1), results!J127)</f>
        <v xml:space="preserve">130.75 </v>
      </c>
      <c r="N131" t="str">
        <f>IF(ISNUMBER(FIND("±", results!K127)), LEFT(results!K127, FIND("±", results!K127) - 1), results!K127)</f>
        <v xml:space="preserve">78.08 </v>
      </c>
      <c r="O131" t="str">
        <f>IF(ISNUMBER(FIND("±", results!L127)), LEFT(results!L127, FIND("±", results!L127) - 1), results!L127)</f>
        <v xml:space="preserve">9.00 </v>
      </c>
      <c r="P131" t="str">
        <f>IF(ISNUMBER(FIND("±", results!M127)), LEFT(results!M127, FIND("±", results!M127) - 1), results!M127)</f>
        <v>0.88</v>
      </c>
      <c r="Q131" t="str">
        <f>IF(ISNUMBER(FIND("±", results!N127)), LEFT(results!N127, FIND("±", results!N127) - 1), results!N127)</f>
        <v xml:space="preserve">144.58 </v>
      </c>
      <c r="R131" t="str">
        <f>IF(ISNUMBER(FIND("±", results!O127)), LEFT(results!O127, FIND("±", results!O127) - 1), results!O127)</f>
        <v xml:space="preserve">85.08 </v>
      </c>
      <c r="S131" t="str">
        <f>IF(ISNUMBER(FIND("±", results!P127)), LEFT(results!P127, FIND("±", results!P127) - 1), results!P127)</f>
        <v xml:space="preserve">12.26 </v>
      </c>
      <c r="T131" t="str">
        <f>IF(ISNUMBER(FIND("±", results!Q127)), LEFT(results!Q127, FIND("±", results!Q127) - 1), results!Q127)</f>
        <v>0.72</v>
      </c>
    </row>
    <row r="132" spans="4:34" x14ac:dyDescent="0.25">
      <c r="D132" s="2" t="s">
        <v>1046</v>
      </c>
      <c r="E132" t="str">
        <f>IF(ISNUMBER(FIND("±", results!B128)), LEFT(results!B128, FIND("±", results!B128) - 1), results!B128)</f>
        <v xml:space="preserve">91.43 </v>
      </c>
      <c r="F132" t="str">
        <f>IF(ISNUMBER(FIND("±", results!C128)), LEFT(results!C128, FIND("±", results!C128) - 1), results!C128)</f>
        <v xml:space="preserve">15.29 </v>
      </c>
      <c r="G132" t="str">
        <f>IF(ISNUMBER(FIND("±", results!D128)), LEFT(results!D128, FIND("±", results!D128) - 1), results!D128)</f>
        <v xml:space="preserve">2.45 </v>
      </c>
      <c r="H132">
        <f>IF(ISNUMBER(FIND("±", results!E128)), LEFT(results!E128, FIND("±", results!E128) - 1), results!E128)</f>
        <v>0.7</v>
      </c>
      <c r="I132" t="str">
        <f>IF(ISNUMBER(FIND("±", results!F128)), LEFT(results!F128, FIND("±", results!F128) - 1), results!F128)</f>
        <v xml:space="preserve">91.09 </v>
      </c>
      <c r="J132" t="str">
        <f>IF(ISNUMBER(FIND("±", results!G128)), LEFT(results!G128, FIND("±", results!G128) - 1), results!G128)</f>
        <v xml:space="preserve">15.29 </v>
      </c>
      <c r="K132" t="str">
        <f>IF(ISNUMBER(FIND("±", results!H128)), LEFT(results!H128, FIND("±", results!H128) - 1), results!H128)</f>
        <v xml:space="preserve">2.64 </v>
      </c>
      <c r="L132">
        <f>IF(ISNUMBER(FIND("±", results!I128)), LEFT(results!I128, FIND("±", results!I128) - 1), results!I128)</f>
        <v>1</v>
      </c>
      <c r="M132" t="str">
        <f>IF(ISNUMBER(FIND("±", results!J128)), LEFT(results!J128, FIND("±", results!J128) - 1), results!J128)</f>
        <v xml:space="preserve">92.09 </v>
      </c>
      <c r="N132" t="str">
        <f>IF(ISNUMBER(FIND("±", results!K128)), LEFT(results!K128, FIND("±", results!K128) - 1), results!K128)</f>
        <v xml:space="preserve">15.29 </v>
      </c>
      <c r="O132" t="str">
        <f>IF(ISNUMBER(FIND("±", results!L128)), LEFT(results!L128, FIND("±", results!L128) - 1), results!L128)</f>
        <v xml:space="preserve">2.62 </v>
      </c>
      <c r="P132">
        <f>IF(ISNUMBER(FIND("±", results!M128)), LEFT(results!M128, FIND("±", results!M128) - 1), results!M128)</f>
        <v>1</v>
      </c>
      <c r="Q132" t="str">
        <f>IF(ISNUMBER(FIND("±", results!N128)), LEFT(results!N128, FIND("±", results!N128) - 1), results!N128)</f>
        <v xml:space="preserve">93.74 </v>
      </c>
      <c r="R132" t="str">
        <f>IF(ISNUMBER(FIND("±", results!O128)), LEFT(results!O128, FIND("±", results!O128) - 1), results!O128)</f>
        <v xml:space="preserve">15.51 </v>
      </c>
      <c r="S132" t="str">
        <f>IF(ISNUMBER(FIND("±", results!P128)), LEFT(results!P128, FIND("±", results!P128) - 1), results!P128)</f>
        <v xml:space="preserve">2.91 </v>
      </c>
      <c r="T132">
        <f>IF(ISNUMBER(FIND("±", results!Q128)), LEFT(results!Q128, FIND("±", results!Q128) - 1), results!Q128)</f>
        <v>1</v>
      </c>
    </row>
    <row r="133" spans="4:34" ht="15.75" thickBot="1" x14ac:dyDescent="0.3">
      <c r="D133" s="4" t="s">
        <v>1047</v>
      </c>
      <c r="E133" t="str">
        <f>IF(ISNUMBER(FIND("±", results!B129)), LEFT(results!B129, FIND("±", results!B129) - 1), results!B129)</f>
        <v xml:space="preserve">151.62 </v>
      </c>
      <c r="F133" t="str">
        <f>IF(ISNUMBER(FIND("±", results!C129)), LEFT(results!C129, FIND("±", results!C129) - 1), results!C129)</f>
        <v xml:space="preserve">31.58 </v>
      </c>
      <c r="G133" t="str">
        <f>IF(ISNUMBER(FIND("±", results!D129)), LEFT(results!D129, FIND("±", results!D129) - 1), results!D129)</f>
        <v xml:space="preserve">37.05 </v>
      </c>
      <c r="H133">
        <f>IF(ISNUMBER(FIND("±", results!E129)), LEFT(results!E129, FIND("±", results!E129) - 1), results!E129)</f>
        <v>0.62</v>
      </c>
      <c r="I133" t="str">
        <f>IF(ISNUMBER(FIND("±", results!F129)), LEFT(results!F129, FIND("±", results!F129) - 1), results!F129)</f>
        <v xml:space="preserve">150.67 </v>
      </c>
      <c r="J133" t="str">
        <f>IF(ISNUMBER(FIND("±", results!G129)), LEFT(results!G129, FIND("±", results!G129) - 1), results!G129)</f>
        <v xml:space="preserve">31.00 </v>
      </c>
      <c r="K133" t="str">
        <f>IF(ISNUMBER(FIND("±", results!H129)), LEFT(results!H129, FIND("±", results!H129) - 1), results!H129)</f>
        <v xml:space="preserve">36.82 </v>
      </c>
      <c r="L133">
        <f>IF(ISNUMBER(FIND("±", results!I129)), LEFT(results!I129, FIND("±", results!I129) - 1), results!I129)</f>
        <v>0.9</v>
      </c>
      <c r="M133" t="str">
        <f>IF(ISNUMBER(FIND("±", results!J129)), LEFT(results!J129, FIND("±", results!J129) - 1), results!J129)</f>
        <v xml:space="preserve">160.12 </v>
      </c>
      <c r="N133" t="str">
        <f>IF(ISNUMBER(FIND("±", results!K129)), LEFT(results!K129, FIND("±", results!K129) - 1), results!K129)</f>
        <v xml:space="preserve">31.96 </v>
      </c>
      <c r="O133" t="str">
        <f>IF(ISNUMBER(FIND("±", results!L129)), LEFT(results!L129, FIND("±", results!L129) - 1), results!L129)</f>
        <v xml:space="preserve">39.87 </v>
      </c>
      <c r="P133">
        <f>IF(ISNUMBER(FIND("±", results!M129)), LEFT(results!M129, FIND("±", results!M129) - 1), results!M129)</f>
        <v>0.9</v>
      </c>
      <c r="Q133" t="str">
        <f>IF(ISNUMBER(FIND("±", results!N129)), LEFT(results!N129, FIND("±", results!N129) - 1), results!N129)</f>
        <v xml:space="preserve">157.12 </v>
      </c>
      <c r="R133" t="str">
        <f>IF(ISNUMBER(FIND("±", results!O129)), LEFT(results!O129, FIND("±", results!O129) - 1), results!O129)</f>
        <v xml:space="preserve">31.38 </v>
      </c>
      <c r="S133" t="str">
        <f>IF(ISNUMBER(FIND("±", results!P129)), LEFT(results!P129, FIND("±", results!P129) - 1), results!P129)</f>
        <v xml:space="preserve">40.22 </v>
      </c>
      <c r="T133">
        <f>IF(ISNUMBER(FIND("±", results!Q129)), LEFT(results!Q129, FIND("±", results!Q129) - 1), results!Q129)</f>
        <v>0.84</v>
      </c>
    </row>
    <row r="135" spans="4:34" s="130" customFormat="1" x14ac:dyDescent="0.25"/>
    <row r="136" spans="4:34" ht="15.75" thickBot="1" x14ac:dyDescent="0.3"/>
    <row r="137" spans="4:34" ht="15.75" thickBot="1" x14ac:dyDescent="0.3">
      <c r="D137" s="214" t="s">
        <v>42</v>
      </c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5"/>
    </row>
    <row r="138" spans="4:34" x14ac:dyDescent="0.25">
      <c r="D138" s="222" t="s">
        <v>1035</v>
      </c>
      <c r="E138" s="220" t="s">
        <v>46</v>
      </c>
      <c r="F138" s="221"/>
      <c r="G138" s="224"/>
      <c r="H138" s="216" t="s">
        <v>34</v>
      </c>
      <c r="I138" s="216"/>
      <c r="J138" s="216"/>
      <c r="K138" s="214" t="s">
        <v>32</v>
      </c>
      <c r="L138" s="216"/>
      <c r="M138" s="215"/>
      <c r="N138" s="216" t="s">
        <v>1130</v>
      </c>
      <c r="O138" s="216"/>
      <c r="P138" s="216"/>
      <c r="Q138" s="214" t="s">
        <v>1131</v>
      </c>
      <c r="R138" s="216"/>
      <c r="S138" s="215"/>
      <c r="T138" s="216" t="s">
        <v>1132</v>
      </c>
      <c r="U138" s="216"/>
      <c r="V138" s="215"/>
      <c r="W138" t="s">
        <v>32</v>
      </c>
      <c r="Z138" t="s">
        <v>1130</v>
      </c>
      <c r="AC138" t="s">
        <v>1131</v>
      </c>
      <c r="AF138" t="s">
        <v>1132</v>
      </c>
    </row>
    <row r="139" spans="4:34" ht="15.75" thickBot="1" x14ac:dyDescent="0.3">
      <c r="D139" s="223"/>
      <c r="E139" s="4" t="s">
        <v>1572</v>
      </c>
      <c r="F139" s="15" t="s">
        <v>1533</v>
      </c>
      <c r="G139" s="7" t="s">
        <v>48</v>
      </c>
      <c r="H139" s="15" t="s">
        <v>1572</v>
      </c>
      <c r="I139" s="15" t="s">
        <v>1533</v>
      </c>
      <c r="J139" s="15" t="s">
        <v>48</v>
      </c>
      <c r="K139" s="4" t="s">
        <v>1572</v>
      </c>
      <c r="L139" s="15" t="s">
        <v>1533</v>
      </c>
      <c r="M139" s="7" t="s">
        <v>48</v>
      </c>
      <c r="N139" s="15" t="s">
        <v>1572</v>
      </c>
      <c r="O139" s="15" t="s">
        <v>1533</v>
      </c>
      <c r="P139" s="15" t="s">
        <v>48</v>
      </c>
      <c r="Q139" s="4" t="s">
        <v>1572</v>
      </c>
      <c r="R139" s="15" t="s">
        <v>1533</v>
      </c>
      <c r="S139" s="7" t="s">
        <v>48</v>
      </c>
      <c r="T139" s="15" t="s">
        <v>1572</v>
      </c>
      <c r="U139" s="15" t="s">
        <v>1533</v>
      </c>
      <c r="V139" s="7" t="s">
        <v>48</v>
      </c>
      <c r="W139" t="s">
        <v>1572</v>
      </c>
      <c r="X139" t="s">
        <v>1533</v>
      </c>
      <c r="Y139" t="s">
        <v>48</v>
      </c>
      <c r="Z139" t="s">
        <v>1572</v>
      </c>
      <c r="AA139" t="s">
        <v>1533</v>
      </c>
      <c r="AB139" t="s">
        <v>48</v>
      </c>
      <c r="AC139" t="s">
        <v>1572</v>
      </c>
      <c r="AD139" t="s">
        <v>1533</v>
      </c>
      <c r="AE139" t="s">
        <v>48</v>
      </c>
      <c r="AF139" t="s">
        <v>1572</v>
      </c>
      <c r="AG139" t="s">
        <v>1533</v>
      </c>
      <c r="AH139" t="s">
        <v>48</v>
      </c>
    </row>
    <row r="140" spans="4:34" x14ac:dyDescent="0.25">
      <c r="D140" s="2" t="s">
        <v>1561</v>
      </c>
      <c r="E140" s="2" t="str">
        <f>IF(ISNUMBER(FIND("±", results!B136)), LEFT(results!B136, FIND("±", results!B136) - 1), results!B136)</f>
        <v xml:space="preserve">90.94 </v>
      </c>
      <c r="F140" s="14" t="str">
        <f>IF(ISNUMBER(FIND("±", results!C136)), LEFT(results!C136, FIND("±", results!C136) - 1), results!C136)</f>
        <v xml:space="preserve">1.96 </v>
      </c>
      <c r="G140" s="27" t="str">
        <f>IF(ISNUMBER(FIND("±", results!D136)), LEFT(results!D136, FIND("±", results!D136) - 1), results!D136)</f>
        <v xml:space="preserve">0.88 </v>
      </c>
      <c r="H140" s="14" t="str">
        <f>IF(ISNUMBER(FIND("±", results!E136)), LEFT(results!E136, FIND("±", results!E136) - 1), results!E136)</f>
        <v xml:space="preserve">138.96 </v>
      </c>
      <c r="I140" s="14">
        <v>0</v>
      </c>
      <c r="J140" s="14" t="str">
        <f>IF(ISNUMBER(FIND("±", results!G136)), LEFT(results!G136, FIND("±", results!G136) - 1), results!G136)</f>
        <v xml:space="preserve">2.52 </v>
      </c>
      <c r="K140" s="2" t="str">
        <f>IF(ISNUMBER(FIND("±", results!H136)), LEFT(results!H136, FIND("±", results!H136) - 1), results!H136)</f>
        <v xml:space="preserve">101.14 </v>
      </c>
      <c r="L140" s="14">
        <v>0</v>
      </c>
      <c r="M140" s="5" t="str">
        <f>IF(ISNUMBER(FIND("±", results!J136)), LEFT(results!J136, FIND("±", results!J136) - 1), results!J136)</f>
        <v xml:space="preserve">1.33 </v>
      </c>
      <c r="N140" s="21" t="str">
        <f>IF(ISNUMBER(FIND("±", results!K136)), LEFT(results!K136, FIND("±", results!K136) - 1), results!K136)</f>
        <v xml:space="preserve">78.32 </v>
      </c>
      <c r="O140" s="14">
        <v>0</v>
      </c>
      <c r="P140" s="14" t="str">
        <f>IF(ISNUMBER(FIND("±", results!M136)), LEFT(results!M136, FIND("±", results!M136) - 1), results!M136)</f>
        <v xml:space="preserve">1.86 </v>
      </c>
      <c r="Q140" s="2" t="str">
        <f>IF(ISNUMBER(FIND("±", results!N136)), LEFT(results!N136, FIND("±", results!N136) - 1), results!N136)</f>
        <v xml:space="preserve">79.00 </v>
      </c>
      <c r="R140" s="14">
        <v>0</v>
      </c>
      <c r="S140" s="5" t="str">
        <f>IF(ISNUMBER(FIND("±", results!P136)), LEFT(results!P136, FIND("±", results!P136) - 1), results!P136)</f>
        <v xml:space="preserve">1.94 </v>
      </c>
      <c r="T140" s="14" t="str">
        <f>IF(ISNUMBER(FIND("±", results!Q136)), LEFT(results!Q136, FIND("±", results!Q136) - 1), results!Q136)</f>
        <v xml:space="preserve">82.12 </v>
      </c>
      <c r="U140" s="14">
        <v>0</v>
      </c>
      <c r="V140" s="5" t="str">
        <f>IF(ISNUMBER(FIND("±", results!S136)), LEFT(results!S136, FIND("±", results!S136) - 1), results!S136)</f>
        <v xml:space="preserve">2.39 </v>
      </c>
      <c r="W140" t="s">
        <v>1927</v>
      </c>
      <c r="X140">
        <v>0</v>
      </c>
      <c r="Y140" t="s">
        <v>1928</v>
      </c>
      <c r="Z140" t="s">
        <v>1929</v>
      </c>
      <c r="AA140">
        <v>0</v>
      </c>
      <c r="AB140" t="s">
        <v>1930</v>
      </c>
      <c r="AC140" t="s">
        <v>1931</v>
      </c>
      <c r="AD140">
        <v>0</v>
      </c>
      <c r="AE140" t="s">
        <v>1932</v>
      </c>
      <c r="AF140" t="s">
        <v>1933</v>
      </c>
      <c r="AG140">
        <v>0</v>
      </c>
      <c r="AH140" t="s">
        <v>1934</v>
      </c>
    </row>
    <row r="141" spans="4:34" x14ac:dyDescent="0.25">
      <c r="D141" s="3" t="s">
        <v>1562</v>
      </c>
      <c r="E141" s="3" t="str">
        <f>IF(ISNUMBER(FIND("±", results!B137)), LEFT(results!B137, FIND("±", results!B137) - 1), results!B137)</f>
        <v xml:space="preserve">103.96 </v>
      </c>
      <c r="F141" t="str">
        <f>IF(ISNUMBER(FIND("±", results!C137)), LEFT(results!C137, FIND("±", results!C137) - 1), results!C137)</f>
        <v xml:space="preserve">2.84 </v>
      </c>
      <c r="G141" s="25" t="str">
        <f>IF(ISNUMBER(FIND("±", results!D137)), LEFT(results!D137, FIND("±", results!D137) - 1), results!D137)</f>
        <v xml:space="preserve">1.96 </v>
      </c>
      <c r="H141" t="str">
        <f>IF(ISNUMBER(FIND("±", results!E137)), LEFT(results!E137, FIND("±", results!E137) - 1), results!E137)</f>
        <v xml:space="preserve">155.64 </v>
      </c>
      <c r="I141">
        <v>0</v>
      </c>
      <c r="J141" t="str">
        <f>IF(ISNUMBER(FIND("±", results!G137)), LEFT(results!G137, FIND("±", results!G137) - 1), results!G137)</f>
        <v xml:space="preserve">5.13 </v>
      </c>
      <c r="K141" s="3" t="str">
        <f>IF(ISNUMBER(FIND("±", results!H137)), LEFT(results!H137, FIND("±", results!H137) - 1), results!H137)</f>
        <v xml:space="preserve">111.14 </v>
      </c>
      <c r="L141">
        <v>0</v>
      </c>
      <c r="M141" s="6" t="str">
        <f>IF(ISNUMBER(FIND("±", results!J137)), LEFT(results!J137, FIND("±", results!J137) - 1), results!J137)</f>
        <v xml:space="preserve">2.66 </v>
      </c>
      <c r="N141" t="str">
        <f>IF(ISNUMBER(FIND("±", results!K137)), LEFT(results!K137, FIND("±", results!K137) - 1), results!K137)</f>
        <v xml:space="preserve">101.58 </v>
      </c>
      <c r="O141">
        <v>0</v>
      </c>
      <c r="P141" t="str">
        <f>IF(ISNUMBER(FIND("±", results!M137)), LEFT(results!M137, FIND("±", results!M137) - 1), results!M137)</f>
        <v xml:space="preserve">4.59 </v>
      </c>
      <c r="Q141" s="3" t="str">
        <f>IF(ISNUMBER(FIND("±", results!N137)), LEFT(results!N137, FIND("±", results!N137) - 1), results!N137)</f>
        <v xml:space="preserve">103.62 </v>
      </c>
      <c r="R141">
        <v>0</v>
      </c>
      <c r="S141" s="6" t="str">
        <f>IF(ISNUMBER(FIND("±", results!P137)), LEFT(results!P137, FIND("±", results!P137) - 1), results!P137)</f>
        <v xml:space="preserve">4.78 </v>
      </c>
      <c r="T141" s="19" t="str">
        <f>IF(ISNUMBER(FIND("±", results!Q137)), LEFT(results!Q137, FIND("±", results!Q137) - 1), results!Q137)</f>
        <v xml:space="preserve">101.28 </v>
      </c>
      <c r="U141">
        <v>0</v>
      </c>
      <c r="V141" s="6" t="str">
        <f>IF(ISNUMBER(FIND("±", results!S137)), LEFT(results!S137, FIND("±", results!S137) - 1), results!S137)</f>
        <v xml:space="preserve">5.16 </v>
      </c>
      <c r="W141" t="s">
        <v>1935</v>
      </c>
      <c r="X141">
        <v>0</v>
      </c>
      <c r="Y141" t="s">
        <v>1936</v>
      </c>
      <c r="Z141" t="s">
        <v>1937</v>
      </c>
      <c r="AA141">
        <v>0</v>
      </c>
      <c r="AB141" t="s">
        <v>1938</v>
      </c>
      <c r="AC141" t="s">
        <v>1939</v>
      </c>
      <c r="AD141">
        <v>0</v>
      </c>
      <c r="AE141" t="s">
        <v>1940</v>
      </c>
      <c r="AF141" t="s">
        <v>1941</v>
      </c>
      <c r="AG141">
        <v>0</v>
      </c>
      <c r="AH141" t="s">
        <v>1942</v>
      </c>
    </row>
    <row r="142" spans="4:34" ht="15.75" thickBot="1" x14ac:dyDescent="0.3">
      <c r="D142" s="4" t="s">
        <v>1563</v>
      </c>
      <c r="E142" s="3" t="str">
        <f>IF(ISNUMBER(FIND("±", results!B138)), LEFT(results!B138, FIND("±", results!B138) - 1), results!B138)</f>
        <v xml:space="preserve">173.04 </v>
      </c>
      <c r="F142" t="str">
        <f>IF(ISNUMBER(FIND("±", results!C138)), LEFT(results!C138, FIND("±", results!C138) - 1), results!C138)</f>
        <v xml:space="preserve">3.26 </v>
      </c>
      <c r="G142" s="25" t="str">
        <f>IF(ISNUMBER(FIND("±", results!D138)), LEFT(results!D138, FIND("±", results!D138) - 1), results!D138)</f>
        <v xml:space="preserve">5.68 </v>
      </c>
      <c r="H142" t="str">
        <f>IF(ISNUMBER(FIND("±", results!E138)), LEFT(results!E138, FIND("±", results!E138) - 1), results!E138)</f>
        <v xml:space="preserve">247.46 </v>
      </c>
      <c r="I142">
        <v>0</v>
      </c>
      <c r="J142" t="str">
        <f>IF(ISNUMBER(FIND("±", results!G138)), LEFT(results!G138, FIND("±", results!G138) - 1), results!G138)</f>
        <v xml:space="preserve">14.23 </v>
      </c>
      <c r="K142" s="3" t="str">
        <f>IF(ISNUMBER(FIND("±", results!H138)), LEFT(results!H138, FIND("±", results!H138) - 1), results!H138)</f>
        <v xml:space="preserve">185.24 </v>
      </c>
      <c r="L142">
        <v>0</v>
      </c>
      <c r="M142" s="6" t="str">
        <f>IF(ISNUMBER(FIND("±", results!J138)), LEFT(results!J138, FIND("±", results!J138) - 1), results!J138)</f>
        <v xml:space="preserve">8.13 </v>
      </c>
      <c r="N142" s="19" t="str">
        <f>IF(ISNUMBER(FIND("±", results!K138)), LEFT(results!K138, FIND("±", results!K138) - 1), results!K138)</f>
        <v xml:space="preserve">143.80 </v>
      </c>
      <c r="O142">
        <v>0</v>
      </c>
      <c r="P142" t="str">
        <f>IF(ISNUMBER(FIND("±", results!M138)), LEFT(results!M138, FIND("±", results!M138) - 1), results!M138)</f>
        <v xml:space="preserve">11.45 </v>
      </c>
      <c r="Q142" s="18" t="str">
        <f>IF(ISNUMBER(FIND("±", results!N138)), LEFT(results!N138, FIND("±", results!N138) - 1), results!N138)</f>
        <v xml:space="preserve">143.80 </v>
      </c>
      <c r="R142">
        <v>0</v>
      </c>
      <c r="S142" s="6" t="str">
        <f>IF(ISNUMBER(FIND("±", results!P138)), LEFT(results!P138, FIND("±", results!P138) - 1), results!P138)</f>
        <v xml:space="preserve">11.90 </v>
      </c>
      <c r="T142" t="str">
        <f>IF(ISNUMBER(FIND("±", results!Q138)), LEFT(results!Q138, FIND("±", results!Q138) - 1), results!Q138)</f>
        <v xml:space="preserve">143.84 </v>
      </c>
      <c r="U142">
        <v>0</v>
      </c>
      <c r="V142" s="6" t="str">
        <f>IF(ISNUMBER(FIND("±", results!S138)), LEFT(results!S138, FIND("±", results!S138) - 1), results!S138)</f>
        <v xml:space="preserve">12.27 </v>
      </c>
      <c r="W142" t="s">
        <v>1943</v>
      </c>
      <c r="X142">
        <v>0</v>
      </c>
      <c r="Y142" t="s">
        <v>1944</v>
      </c>
      <c r="Z142" t="s">
        <v>1945</v>
      </c>
      <c r="AA142">
        <v>0</v>
      </c>
      <c r="AB142" t="s">
        <v>1946</v>
      </c>
      <c r="AC142" t="s">
        <v>1947</v>
      </c>
      <c r="AD142">
        <v>0</v>
      </c>
      <c r="AE142" t="s">
        <v>1948</v>
      </c>
      <c r="AF142" t="s">
        <v>1949</v>
      </c>
      <c r="AG142">
        <v>0</v>
      </c>
      <c r="AH142" t="s">
        <v>1950</v>
      </c>
    </row>
    <row r="143" spans="4:34" x14ac:dyDescent="0.25">
      <c r="D143" s="3" t="s">
        <v>1564</v>
      </c>
      <c r="E143" s="2" t="str">
        <f>IF(ISNUMBER(FIND("±", results!B139)), LEFT(results!B139, FIND("±", results!B139) - 1), results!B139)</f>
        <v xml:space="preserve">730.38 </v>
      </c>
      <c r="F143" s="14" t="str">
        <f>IF(ISNUMBER(FIND("±", results!C139)), LEFT(results!C139, FIND("±", results!C139) - 1), results!C139)</f>
        <v xml:space="preserve">3.56 </v>
      </c>
      <c r="G143" s="5" t="str">
        <f>IF(ISNUMBER(FIND("±", results!D139)), LEFT(results!D139, FIND("±", results!D139) - 1), results!D139)</f>
        <v xml:space="preserve">129.72 </v>
      </c>
      <c r="H143" s="2" t="str">
        <f>IF(ISNUMBER(FIND("±", results!E139)), LEFT(results!E139, FIND("±", results!E139) - 1), results!E139)</f>
        <v xml:space="preserve">827.24 </v>
      </c>
      <c r="I143" s="14">
        <v>0</v>
      </c>
      <c r="J143" s="14" t="str">
        <f>IF(ISNUMBER(FIND("±", results!G139)), LEFT(results!G139, FIND("±", results!G139) - 1), results!G139)</f>
        <v xml:space="preserve">149.01 </v>
      </c>
      <c r="K143" s="26" t="str">
        <f>IF(ISNUMBER(FIND("±", results!H139)), LEFT(results!H139, FIND("±", results!H139) - 1), results!H139)</f>
        <v xml:space="preserve">672.60 </v>
      </c>
      <c r="L143" s="14">
        <v>0</v>
      </c>
      <c r="M143" s="27" t="str">
        <f>IF(ISNUMBER(FIND("±", results!J139)), LEFT(results!J139, FIND("±", results!J139) - 1), results!J139)</f>
        <v xml:space="preserve">111.40 </v>
      </c>
      <c r="N143" s="14" t="str">
        <f>IF(ISNUMBER(FIND("±", results!K139)), LEFT(results!K139, FIND("±", results!K139) - 1), results!K139)</f>
        <v xml:space="preserve">698.00 </v>
      </c>
      <c r="O143" s="14">
        <v>0</v>
      </c>
      <c r="P143" s="5" t="str">
        <f>IF(ISNUMBER(FIND("±", results!M139)), LEFT(results!M139, FIND("±", results!M139) - 1), results!M139)</f>
        <v xml:space="preserve">118.21 </v>
      </c>
      <c r="Q143" s="2" t="str">
        <f>IF(ISNUMBER(FIND("±", results!N139)), LEFT(results!N139, FIND("±", results!N139) - 1), results!N139)</f>
        <v xml:space="preserve">682.28 </v>
      </c>
      <c r="R143" s="14">
        <v>0</v>
      </c>
      <c r="S143" s="5" t="str">
        <f>IF(ISNUMBER(FIND("±", results!P139)), LEFT(results!P139, FIND("±", results!P139) - 1), results!P139)</f>
        <v xml:space="preserve">116.93 </v>
      </c>
      <c r="T143" s="2" t="str">
        <f>IF(ISNUMBER(FIND("±", results!Q139)), LEFT(results!Q139, FIND("±", results!Q139) - 1), results!Q139)</f>
        <v xml:space="preserve">721.72 </v>
      </c>
      <c r="U143" s="14">
        <v>0</v>
      </c>
      <c r="V143" s="5" t="str">
        <f>IF(ISNUMBER(FIND("±", results!S139)), LEFT(results!S139, FIND("±", results!S139) - 1), results!S139)</f>
        <v xml:space="preserve">125.94 </v>
      </c>
      <c r="W143" t="s">
        <v>1951</v>
      </c>
      <c r="X143">
        <v>0</v>
      </c>
      <c r="Y143" t="s">
        <v>1952</v>
      </c>
      <c r="Z143" t="s">
        <v>1953</v>
      </c>
      <c r="AA143">
        <v>0</v>
      </c>
      <c r="AB143" t="s">
        <v>1954</v>
      </c>
      <c r="AC143" t="s">
        <v>1955</v>
      </c>
      <c r="AD143">
        <v>0</v>
      </c>
      <c r="AE143" t="s">
        <v>1956</v>
      </c>
      <c r="AF143" t="s">
        <v>1957</v>
      </c>
      <c r="AG143">
        <v>0</v>
      </c>
      <c r="AH143" t="s">
        <v>1958</v>
      </c>
    </row>
    <row r="144" spans="4:34" x14ac:dyDescent="0.25">
      <c r="D144" s="3" t="s">
        <v>1565</v>
      </c>
      <c r="E144" s="18" t="str">
        <f>IF(ISNUMBER(FIND("±", results!B140)), LEFT(results!B140, FIND("±", results!B140) - 1), results!B140)</f>
        <v xml:space="preserve">423.36 </v>
      </c>
      <c r="F144" t="str">
        <f>IF(ISNUMBER(FIND("±", results!C140)), LEFT(results!C140, FIND("±", results!C140) - 1), results!C140)</f>
        <v xml:space="preserve">1.52 </v>
      </c>
      <c r="G144" s="25" t="str">
        <f>IF(ISNUMBER(FIND("±", results!D140)), LEFT(results!D140, FIND("±", results!D140) - 1), results!D140)</f>
        <v xml:space="preserve">165.63 </v>
      </c>
      <c r="H144" s="3" t="str">
        <f>IF(ISNUMBER(FIND("±", results!E140)), LEFT(results!E140, FIND("±", results!E140) - 1), results!E140)</f>
        <v xml:space="preserve">503.26 </v>
      </c>
      <c r="I144">
        <v>0</v>
      </c>
      <c r="J144" t="str">
        <f>IF(ISNUMBER(FIND("±", results!G140)), LEFT(results!G140, FIND("±", results!G140) - 1), results!G140)</f>
        <v xml:space="preserve">214.70 </v>
      </c>
      <c r="K144" s="3" t="str">
        <f>IF(ISNUMBER(FIND("±", results!H140)), LEFT(results!H140, FIND("±", results!H140) - 1), results!H140)</f>
        <v xml:space="preserve">430.04 </v>
      </c>
      <c r="L144">
        <v>0</v>
      </c>
      <c r="M144" s="6" t="str">
        <f>IF(ISNUMBER(FIND("±", results!J140)), LEFT(results!J140, FIND("±", results!J140) - 1), results!J140)</f>
        <v xml:space="preserve">177.11 </v>
      </c>
      <c r="N144" t="str">
        <f>IF(ISNUMBER(FIND("±", results!K140)), LEFT(results!K140, FIND("±", results!K140) - 1), results!K140)</f>
        <v xml:space="preserve">459.06 </v>
      </c>
      <c r="O144">
        <v>0</v>
      </c>
      <c r="P144" s="6" t="str">
        <f>IF(ISNUMBER(FIND("±", results!M140)), LEFT(results!M140, FIND("±", results!M140) - 1), results!M140)</f>
        <v xml:space="preserve">192.71 </v>
      </c>
      <c r="Q144" s="3" t="str">
        <f>IF(ISNUMBER(FIND("±", results!N140)), LEFT(results!N140, FIND("±", results!N140) - 1), results!N140)</f>
        <v xml:space="preserve">445.54 </v>
      </c>
      <c r="R144">
        <v>0</v>
      </c>
      <c r="S144" s="6" t="str">
        <f>IF(ISNUMBER(FIND("±", results!P140)), LEFT(results!P140, FIND("±", results!P140) - 1), results!P140)</f>
        <v xml:space="preserve">187.04 </v>
      </c>
      <c r="T144" s="3" t="str">
        <f>IF(ISNUMBER(FIND("±", results!Q140)), LEFT(results!Q140, FIND("±", results!Q140) - 1), results!Q140)</f>
        <v xml:space="preserve">542.06 </v>
      </c>
      <c r="U144">
        <v>0</v>
      </c>
      <c r="V144" s="6" t="str">
        <f>IF(ISNUMBER(FIND("±", results!S140)), LEFT(results!S140, FIND("±", results!S140) - 1), results!S140)</f>
        <v xml:space="preserve">230.48 </v>
      </c>
      <c r="W144" t="s">
        <v>1959</v>
      </c>
      <c r="X144">
        <v>1</v>
      </c>
      <c r="Y144" t="s">
        <v>1960</v>
      </c>
      <c r="Z144" t="s">
        <v>1961</v>
      </c>
      <c r="AA144">
        <v>1</v>
      </c>
      <c r="AB144" t="s">
        <v>1962</v>
      </c>
      <c r="AC144" t="s">
        <v>1963</v>
      </c>
      <c r="AD144">
        <v>1</v>
      </c>
      <c r="AE144" t="s">
        <v>1964</v>
      </c>
      <c r="AF144" t="s">
        <v>1965</v>
      </c>
      <c r="AG144">
        <v>1</v>
      </c>
      <c r="AH144" t="s">
        <v>1966</v>
      </c>
    </row>
    <row r="145" spans="4:34" ht="15.75" thickBot="1" x14ac:dyDescent="0.3">
      <c r="D145" s="3" t="s">
        <v>1566</v>
      </c>
      <c r="E145" s="18" t="str">
        <f>IF(ISNUMBER(FIND("±", results!B141)), LEFT(results!B141, FIND("±", results!B141) - 1), results!B141)</f>
        <v xml:space="preserve">873.44 </v>
      </c>
      <c r="F145" t="str">
        <f>IF(ISNUMBER(FIND("±", results!C141)), LEFT(results!C141, FIND("±", results!C141) - 1), results!C141)</f>
        <v xml:space="preserve">2.82 </v>
      </c>
      <c r="G145" s="25" t="str">
        <f>IF(ISNUMBER(FIND("±", results!D141)), LEFT(results!D141, FIND("±", results!D141) - 1), results!D141)</f>
        <v xml:space="preserve">247.25 </v>
      </c>
      <c r="H145" s="3" t="str">
        <f>IF(ISNUMBER(FIND("±", results!E141)), LEFT(results!E141, FIND("±", results!E141) - 1), results!E141)</f>
        <v xml:space="preserve">932.14 </v>
      </c>
      <c r="I145">
        <v>1</v>
      </c>
      <c r="J145" t="str">
        <f>IF(ISNUMBER(FIND("±", results!G141)), LEFT(results!G141, FIND("±", results!G141) - 1), results!G141)</f>
        <v xml:space="preserve">268.78 </v>
      </c>
      <c r="K145" s="3" t="str">
        <f>IF(ISNUMBER(FIND("±", results!H141)), LEFT(results!H141, FIND("±", results!H141) - 1), results!H141)</f>
        <v xml:space="preserve">799.80 </v>
      </c>
      <c r="L145">
        <v>1</v>
      </c>
      <c r="M145" s="6" t="str">
        <f>IF(ISNUMBER(FIND("±", results!J141)), LEFT(results!J141, FIND("±", results!J141) - 1), results!J141)</f>
        <v xml:space="preserve">247.73 </v>
      </c>
      <c r="N145" t="str">
        <f>IF(ISNUMBER(FIND("±", results!K141)), LEFT(results!K141, FIND("±", results!K141) - 1), results!K141)</f>
        <v xml:space="preserve">864.60 </v>
      </c>
      <c r="O145">
        <v>1</v>
      </c>
      <c r="P145" s="6" t="str">
        <f>IF(ISNUMBER(FIND("±", results!M141)), LEFT(results!M141, FIND("±", results!M141) - 1), results!M141)</f>
        <v xml:space="preserve">234.54 </v>
      </c>
      <c r="Q145" s="3" t="str">
        <f>IF(ISNUMBER(FIND("±", results!N141)), LEFT(results!N141, FIND("±", results!N141) - 1), results!N141)</f>
        <v xml:space="preserve">860.22 </v>
      </c>
      <c r="R145">
        <v>1</v>
      </c>
      <c r="S145" s="6" t="str">
        <f>IF(ISNUMBER(FIND("±", results!P141)), LEFT(results!P141, FIND("±", results!P141) - 1), results!P141)</f>
        <v xml:space="preserve">226.64 </v>
      </c>
      <c r="T145" s="3" t="str">
        <f>IF(ISNUMBER(FIND("±", results!Q141)), LEFT(results!Q141, FIND("±", results!Q141) - 1), results!Q141)</f>
        <v xml:space="preserve">798.12 </v>
      </c>
      <c r="U145">
        <v>1</v>
      </c>
      <c r="V145" s="6" t="str">
        <f>IF(ISNUMBER(FIND("±", results!S141)), LEFT(results!S141, FIND("±", results!S141) - 1), results!S141)</f>
        <v xml:space="preserve">247.76 </v>
      </c>
    </row>
    <row r="146" spans="4:34" ht="15.75" thickBot="1" x14ac:dyDescent="0.3">
      <c r="D146" s="8" t="s">
        <v>1567</v>
      </c>
      <c r="E146" s="8" t="str">
        <f>IF(ISNUMBER(FIND("±", results!B142)), LEFT(results!B142, FIND("±", results!B142) - 1), results!B142)</f>
        <v xml:space="preserve">139.64 </v>
      </c>
      <c r="F146" s="1" t="str">
        <f>IF(ISNUMBER(FIND("±", results!C142)), LEFT(results!C142, FIND("±", results!C142) - 1), results!C142)</f>
        <v xml:space="preserve">77.58 </v>
      </c>
      <c r="G146" s="13" t="str">
        <f>IF(ISNUMBER(FIND("±", results!D142)), LEFT(results!D142, FIND("±", results!D142) - 1), results!D142)</f>
        <v xml:space="preserve">20.36 </v>
      </c>
      <c r="H146" s="1" t="str">
        <f>IF(ISNUMBER(FIND("±", results!E142)), LEFT(results!E142, FIND("±", results!E142) - 1), results!E142)</f>
        <v xml:space="preserve">187.16 </v>
      </c>
      <c r="I146" s="1">
        <v>0</v>
      </c>
      <c r="J146" s="1" t="str">
        <f>IF(ISNUMBER(FIND("±", results!G142)), LEFT(results!G142, FIND("±", results!G142) - 1), results!G142)</f>
        <v xml:space="preserve">43.56 </v>
      </c>
      <c r="K146" s="8" t="str">
        <f>IF(ISNUMBER(FIND("±", results!H142)), LEFT(results!H142, FIND("±", results!H142) - 1), results!H142)</f>
        <v xml:space="preserve">109.54 </v>
      </c>
      <c r="L146" s="1">
        <v>0</v>
      </c>
      <c r="M146" s="13" t="str">
        <f>IF(ISNUMBER(FIND("±", results!J142)), LEFT(results!J142, FIND("±", results!J142) - 1), results!J142)</f>
        <v xml:space="preserve">20.07 </v>
      </c>
      <c r="N146" s="1" t="str">
        <f>IF(ISNUMBER(FIND("±", results!K142)), LEFT(results!K142, FIND("±", results!K142) - 1), results!K142)</f>
        <v xml:space="preserve">76.22 </v>
      </c>
      <c r="O146" s="1">
        <v>0</v>
      </c>
      <c r="P146" s="22" t="str">
        <f>IF(ISNUMBER(FIND("±", results!M142)), LEFT(results!M142, FIND("±", results!M142) - 1), results!M142)</f>
        <v xml:space="preserve">10.81 </v>
      </c>
      <c r="Q146" s="8" t="str">
        <f>IF(ISNUMBER(FIND("±", results!N142)), LEFT(results!N142, FIND("±", results!N142) - 1), results!N142)</f>
        <v xml:space="preserve">75.98 </v>
      </c>
      <c r="R146" s="1">
        <v>0</v>
      </c>
      <c r="S146" s="13" t="str">
        <f>IF(ISNUMBER(FIND("±", results!P142)), LEFT(results!P142, FIND("±", results!P142) - 1), results!P142)</f>
        <v xml:space="preserve">10.93 </v>
      </c>
      <c r="T146" s="22" t="str">
        <f>IF(ISNUMBER(FIND("±", results!Q142)), LEFT(results!Q142, FIND("±", results!Q142) - 1), results!Q142)</f>
        <v xml:space="preserve">74.38 </v>
      </c>
      <c r="U146" s="1">
        <v>0</v>
      </c>
      <c r="V146" s="13" t="str">
        <f>IF(ISNUMBER(FIND("±", results!S142)), LEFT(results!S142, FIND("±", results!S142) - 1), results!S142)</f>
        <v xml:space="preserve">10.74 </v>
      </c>
      <c r="W146" t="s">
        <v>1967</v>
      </c>
      <c r="X146">
        <v>0</v>
      </c>
      <c r="Y146" t="s">
        <v>1968</v>
      </c>
      <c r="Z146" t="s">
        <v>1969</v>
      </c>
      <c r="AA146">
        <v>0</v>
      </c>
      <c r="AB146" t="s">
        <v>1970</v>
      </c>
      <c r="AC146" t="s">
        <v>1971</v>
      </c>
      <c r="AD146">
        <v>0</v>
      </c>
      <c r="AE146" t="s">
        <v>1972</v>
      </c>
      <c r="AF146" t="s">
        <v>1973</v>
      </c>
      <c r="AG146">
        <v>0</v>
      </c>
      <c r="AH146" t="s">
        <v>1974</v>
      </c>
    </row>
    <row r="147" spans="4:34" ht="15.75" thickBot="1" x14ac:dyDescent="0.3">
      <c r="D147" s="3" t="s">
        <v>1568</v>
      </c>
      <c r="E147" s="3" t="str">
        <f>IF(ISNUMBER(FIND("±", results!B143)), LEFT(results!B143, FIND("±", results!B143) - 1), results!B143)</f>
        <v xml:space="preserve">26.72 </v>
      </c>
      <c r="F147" t="str">
        <f>IF(ISNUMBER(FIND("±", results!C143)), LEFT(results!C143, FIND("±", results!C143) - 1), results!C143)</f>
        <v xml:space="preserve">11.08 </v>
      </c>
      <c r="G147" s="6" t="str">
        <f>IF(ISNUMBER(FIND("±", results!D143)), LEFT(results!D143, FIND("±", results!D143) - 1), results!D143)</f>
        <v xml:space="preserve">0.91 </v>
      </c>
      <c r="H147" t="str">
        <f>IF(ISNUMBER(FIND("±", results!E143)), LEFT(results!E143, FIND("±", results!E143) - 1), results!E143)</f>
        <v xml:space="preserve">23.34 </v>
      </c>
      <c r="I147">
        <v>0</v>
      </c>
      <c r="J147" t="str">
        <f>IF(ISNUMBER(FIND("±", results!G143)), LEFT(results!G143, FIND("±", results!G143) - 1), results!G143)</f>
        <v xml:space="preserve">1.00 </v>
      </c>
      <c r="K147" s="18" t="str">
        <f>IF(ISNUMBER(FIND("±", results!H143)), LEFT(results!H143, FIND("±", results!H143) - 1), results!H143)</f>
        <v xml:space="preserve">10.12 </v>
      </c>
      <c r="L147">
        <v>0</v>
      </c>
      <c r="M147" s="6" t="str">
        <f>IF(ISNUMBER(FIND("±", results!J143)), LEFT(results!J143, FIND("±", results!J143) - 1), results!J143)</f>
        <v xml:space="preserve">0.31 </v>
      </c>
      <c r="N147" s="19" t="str">
        <f>IF(ISNUMBER(FIND("±", results!K143)), LEFT(results!K143, FIND("±", results!K143) - 1), results!K143)</f>
        <v xml:space="preserve">10.12 </v>
      </c>
      <c r="O147">
        <v>0</v>
      </c>
      <c r="P147" t="str">
        <f>IF(ISNUMBER(FIND("±", results!M143)), LEFT(results!M143, FIND("±", results!M143) - 1), results!M143)</f>
        <v xml:space="preserve">0.31 </v>
      </c>
      <c r="Q147" s="18" t="str">
        <f>IF(ISNUMBER(FIND("±", results!N143)), LEFT(results!N143, FIND("±", results!N143) - 1), results!N143)</f>
        <v xml:space="preserve">10.12 </v>
      </c>
      <c r="R147">
        <v>0</v>
      </c>
      <c r="S147" s="25" t="str">
        <f>IF(ISNUMBER(FIND("±", results!P143)), LEFT(results!P143, FIND("±", results!P143) - 1), results!P143)</f>
        <v xml:space="preserve">0.30 </v>
      </c>
      <c r="T147" s="19" t="str">
        <f>IF(ISNUMBER(FIND("±", results!Q143)), LEFT(results!Q143, FIND("±", results!Q143) - 1), results!Q143)</f>
        <v xml:space="preserve">10.12 </v>
      </c>
      <c r="U147">
        <v>0</v>
      </c>
      <c r="V147" s="6" t="str">
        <f>IF(ISNUMBER(FIND("±", results!S143)), LEFT(results!S143, FIND("±", results!S143) - 1), results!S143)</f>
        <v xml:space="preserve">0.31 </v>
      </c>
      <c r="W147" t="s">
        <v>1975</v>
      </c>
      <c r="X147">
        <v>0</v>
      </c>
      <c r="Y147" t="s">
        <v>1976</v>
      </c>
      <c r="Z147" t="s">
        <v>1975</v>
      </c>
      <c r="AA147">
        <v>0</v>
      </c>
      <c r="AB147" t="s">
        <v>1977</v>
      </c>
      <c r="AC147" t="s">
        <v>1975</v>
      </c>
      <c r="AD147">
        <v>0</v>
      </c>
      <c r="AE147" t="s">
        <v>1978</v>
      </c>
      <c r="AF147" t="s">
        <v>1975</v>
      </c>
      <c r="AG147">
        <v>0</v>
      </c>
      <c r="AH147" t="s">
        <v>1979</v>
      </c>
    </row>
    <row r="148" spans="4:34" x14ac:dyDescent="0.25">
      <c r="D148" s="2" t="s">
        <v>1045</v>
      </c>
      <c r="E148" s="2" t="str">
        <f>IF(ISNUMBER(FIND("±", results!B144)), LEFT(results!B144, FIND("±", results!B144) - 1), results!B144)</f>
        <v xml:space="preserve">176.08 </v>
      </c>
      <c r="F148" s="14" t="str">
        <f>IF(ISNUMBER(FIND("±", results!C144)), LEFT(results!C144, FIND("±", results!C144) - 1), results!C144)</f>
        <v xml:space="preserve">143.22 </v>
      </c>
      <c r="G148" s="14" t="str">
        <f>IF(ISNUMBER(FIND("±", results!D144)), LEFT(results!D144, FIND("±", results!D144) - 1), results!D144)</f>
        <v xml:space="preserve">5.62 </v>
      </c>
      <c r="H148" s="2" t="str">
        <f>IF(ISNUMBER(FIND("±", results!E144)), LEFT(results!E144, FIND("±", results!E144) - 1), results!E144)</f>
        <v xml:space="preserve">212.27 </v>
      </c>
      <c r="I148" s="14">
        <v>0</v>
      </c>
      <c r="J148" s="5" t="str">
        <f>IF(ISNUMBER(FIND("±", results!G144)), LEFT(results!G144, FIND("±", results!G144) - 1), results!G144)</f>
        <v xml:space="preserve">9.16 </v>
      </c>
      <c r="K148" s="14" t="str">
        <f>IF(ISNUMBER(FIND("±", results!H144)), LEFT(results!H144, FIND("±", results!H144) - 1), results!H144)</f>
        <v xml:space="preserve">78.65 </v>
      </c>
      <c r="L148" s="14">
        <v>0</v>
      </c>
      <c r="M148" s="21" t="str">
        <f>IF(ISNUMBER(FIND("±", results!J144)), LEFT(results!J144, FIND("±", results!J144) - 1), results!J144)</f>
        <v xml:space="preserve">2.40 </v>
      </c>
      <c r="N148" s="26" t="str">
        <f>IF(ISNUMBER(FIND("±", results!K144)), LEFT(results!K144, FIND("±", results!K144) - 1), results!K144)</f>
        <v xml:space="preserve">59.96 </v>
      </c>
      <c r="O148" s="14">
        <v>0</v>
      </c>
      <c r="P148" s="5" t="str">
        <f>IF(ISNUMBER(FIND("±", results!M144)), LEFT(results!M144, FIND("±", results!M144) - 1), results!M144)</f>
        <v xml:space="preserve">2.66 </v>
      </c>
      <c r="Q148" s="14" t="str">
        <f>IF(ISNUMBER(FIND("±", results!N144)), LEFT(results!N144, FIND("±", results!N144) - 1), results!N144)</f>
        <v xml:space="preserve">63.43 </v>
      </c>
      <c r="R148" s="14">
        <v>0</v>
      </c>
      <c r="S148" s="14" t="str">
        <f>IF(ISNUMBER(FIND("±", results!P144)), LEFT(results!P144, FIND("±", results!P144) - 1), results!P144)</f>
        <v xml:space="preserve">2.83 </v>
      </c>
      <c r="T148" s="2" t="str">
        <f>IF(ISNUMBER(FIND("±", results!Q144)), LEFT(results!Q144, FIND("±", results!Q144) - 1), results!Q144)</f>
        <v xml:space="preserve">65.37 </v>
      </c>
      <c r="U148" s="14">
        <v>0</v>
      </c>
      <c r="V148" s="5" t="str">
        <f>IF(ISNUMBER(FIND("±", results!S144)), LEFT(results!S144, FIND("±", results!S144) - 1), results!S144)</f>
        <v xml:space="preserve">3.19 </v>
      </c>
      <c r="W148" t="s">
        <v>1980</v>
      </c>
      <c r="X148">
        <v>0</v>
      </c>
      <c r="Y148" t="s">
        <v>1981</v>
      </c>
      <c r="Z148" t="s">
        <v>1982</v>
      </c>
      <c r="AA148">
        <v>0</v>
      </c>
      <c r="AB148" t="s">
        <v>1983</v>
      </c>
      <c r="AC148" t="s">
        <v>1984</v>
      </c>
      <c r="AD148">
        <v>0</v>
      </c>
      <c r="AE148" t="s">
        <v>1985</v>
      </c>
      <c r="AF148" t="s">
        <v>1986</v>
      </c>
      <c r="AG148">
        <v>0</v>
      </c>
      <c r="AH148" t="s">
        <v>1987</v>
      </c>
    </row>
    <row r="149" spans="4:34" ht="15.75" thickBot="1" x14ac:dyDescent="0.3">
      <c r="D149" s="4" t="s">
        <v>1569</v>
      </c>
      <c r="E149" s="4" t="str">
        <f>IF(ISNUMBER(FIND("±", results!B145)), LEFT(results!B145, FIND("±", results!B145) - 1), results!B145)</f>
        <v xml:space="preserve">743.34 </v>
      </c>
      <c r="F149" s="4" t="str">
        <f>IF(ISNUMBER(FIND("±", results!C145)), LEFT(results!C145, FIND("±", results!C145) - 1), results!C145)</f>
        <v xml:space="preserve">663.26 </v>
      </c>
      <c r="G149" s="4" t="str">
        <f>IF(ISNUMBER(FIND("±", results!D145)), LEFT(results!D145, FIND("±", results!D145) - 1), results!D145)</f>
        <v xml:space="preserve">223.26 </v>
      </c>
      <c r="H149" s="4" t="str">
        <f>IF(ISNUMBER(FIND("±", results!E145)), LEFT(results!E145, FIND("±", results!E145) - 1), results!E145)</f>
        <v xml:space="preserve">704.02 </v>
      </c>
      <c r="I149" s="4" t="str">
        <f>IF(ISNUMBER(FIND("±", results!F145)), LEFT(results!F145, FIND("±", results!F145) - 1), results!F145)</f>
        <v xml:space="preserve">0.00 </v>
      </c>
      <c r="J149" s="4" t="str">
        <f>IF(ISNUMBER(FIND("±", results!G145)), LEFT(results!G145, FIND("±", results!G145) - 1), results!G145)</f>
        <v xml:space="preserve">287.47 </v>
      </c>
      <c r="K149" s="4" t="str">
        <f>IF(ISNUMBER(FIND("±", results!H145)), LEFT(results!H145, FIND("±", results!H145) - 1), results!H145)</f>
        <v xml:space="preserve">377.40 </v>
      </c>
      <c r="L149" s="4" t="str">
        <f>IF(ISNUMBER(FIND("±", results!I145)), LEFT(results!I145, FIND("±", results!I145) - 1), results!I145)</f>
        <v xml:space="preserve">0.00 </v>
      </c>
      <c r="M149" s="4" t="str">
        <f>IF(ISNUMBER(FIND("±", results!J145)), LEFT(results!J145, FIND("±", results!J145) - 1), results!J145)</f>
        <v xml:space="preserve">93.00 </v>
      </c>
      <c r="N149" s="4" t="str">
        <f>IF(ISNUMBER(FIND("±", results!K145)), LEFT(results!K145, FIND("±", results!K145) - 1), results!K145)</f>
        <v xml:space="preserve">250.90 </v>
      </c>
      <c r="O149" s="4" t="str">
        <f>IF(ISNUMBER(FIND("±", results!L145)), LEFT(results!L145, FIND("±", results!L145) - 1), results!L145)</f>
        <v xml:space="preserve">0.00 </v>
      </c>
      <c r="P149" s="4" t="str">
        <f>IF(ISNUMBER(FIND("±", results!M145)), LEFT(results!M145, FIND("±", results!M145) - 1), results!M145)</f>
        <v xml:space="preserve">87.88 </v>
      </c>
      <c r="Q149" s="4" t="str">
        <f>IF(ISNUMBER(FIND("±", results!N145)), LEFT(results!N145, FIND("±", results!N145) - 1), results!N145)</f>
        <v xml:space="preserve">218.38 </v>
      </c>
      <c r="R149" s="4" t="str">
        <f>IF(ISNUMBER(FIND("±", results!O145)), LEFT(results!O145, FIND("±", results!O145) - 1), results!O145)</f>
        <v xml:space="preserve">0.00 </v>
      </c>
      <c r="S149" s="4" t="str">
        <f>IF(ISNUMBER(FIND("±", results!P145)), LEFT(results!P145, FIND("±", results!P145) - 1), results!P145)</f>
        <v xml:space="preserve">74.84 </v>
      </c>
      <c r="T149" s="4" t="str">
        <f>IF(ISNUMBER(FIND("±", results!Q145)), LEFT(results!Q145, FIND("±", results!Q145) - 1), results!Q145)</f>
        <v xml:space="preserve">237.10 </v>
      </c>
      <c r="U149" s="4" t="str">
        <f>IF(ISNUMBER(FIND("±", results!R145)), LEFT(results!R145, FIND("±", results!R145) - 1), results!R145)</f>
        <v xml:space="preserve">0.00 </v>
      </c>
      <c r="V149" s="4" t="str">
        <f>IF(ISNUMBER(FIND("±", results!S145)), LEFT(results!S145, FIND("±", results!S145) - 1), results!S145)</f>
        <v xml:space="preserve">85.75 </v>
      </c>
      <c r="W149" t="s">
        <v>1988</v>
      </c>
      <c r="X149">
        <v>1</v>
      </c>
      <c r="Y149" t="s">
        <v>1989</v>
      </c>
      <c r="Z149" t="s">
        <v>1990</v>
      </c>
      <c r="AA149">
        <v>1</v>
      </c>
      <c r="AB149" t="s">
        <v>1991</v>
      </c>
      <c r="AC149" t="s">
        <v>1992</v>
      </c>
      <c r="AD149">
        <v>1</v>
      </c>
      <c r="AE149" t="s">
        <v>1993</v>
      </c>
      <c r="AF149" t="s">
        <v>1994</v>
      </c>
      <c r="AG149">
        <v>1</v>
      </c>
      <c r="AH149" t="s">
        <v>1995</v>
      </c>
    </row>
    <row r="150" spans="4:34" x14ac:dyDescent="0.25">
      <c r="D150" s="3" t="s">
        <v>1570</v>
      </c>
      <c r="E150" s="3" t="str">
        <f>IF(ISNUMBER(FIND("±", results!B146)), LEFT(results!B146, FIND("±", results!B146) - 1), results!B146)</f>
        <v xml:space="preserve">104.26 </v>
      </c>
      <c r="F150" t="str">
        <f>IF(ISNUMBER(FIND("±", results!C146)), LEFT(results!C146, FIND("±", results!C146) - 1), results!C146)</f>
        <v xml:space="preserve">42.10 </v>
      </c>
      <c r="G150" s="6" t="str">
        <f>IF(ISNUMBER(FIND("±", results!D146)), LEFT(results!D146, FIND("±", results!D146) - 1), results!D146)</f>
        <v xml:space="preserve">7.32 </v>
      </c>
      <c r="H150" t="str">
        <f>IF(ISNUMBER(FIND("±", results!E146)), LEFT(results!E146, FIND("±", results!E146) - 1), results!E146)</f>
        <v xml:space="preserve">105.26 </v>
      </c>
      <c r="I150">
        <v>0</v>
      </c>
      <c r="J150" t="str">
        <f>IF(ISNUMBER(FIND("±", results!G146)), LEFT(results!G146, FIND("±", results!G146) - 1), results!G146)</f>
        <v xml:space="preserve">6.89 </v>
      </c>
      <c r="K150" s="18" t="str">
        <f>IF(ISNUMBER(FIND("±", results!H146)), LEFT(results!H146, FIND("±", results!H146) - 1), results!H146)</f>
        <v xml:space="preserve">55.54 </v>
      </c>
      <c r="L150">
        <v>0</v>
      </c>
      <c r="M150" s="25" t="str">
        <f>IF(ISNUMBER(FIND("±", results!J146)), LEFT(results!J146, FIND("±", results!J146) - 1), results!J146)</f>
        <v xml:space="preserve">2.18 </v>
      </c>
      <c r="N150" s="19" t="str">
        <f>IF(ISNUMBER(FIND("±", results!K146)), LEFT(results!K146, FIND("±", results!K146) - 1), results!K146)</f>
        <v xml:space="preserve">55.54 </v>
      </c>
      <c r="O150">
        <v>0</v>
      </c>
      <c r="P150" t="str">
        <f>IF(ISNUMBER(FIND("±", results!M146)), LEFT(results!M146, FIND("±", results!M146) - 1), results!M146)</f>
        <v xml:space="preserve">3.30 </v>
      </c>
      <c r="Q150" s="18" t="str">
        <f>IF(ISNUMBER(FIND("±", results!N146)), LEFT(results!N146, FIND("±", results!N146) - 1), results!N146)</f>
        <v xml:space="preserve">55.54 </v>
      </c>
      <c r="R150">
        <v>0</v>
      </c>
      <c r="S150" s="6" t="str">
        <f>IF(ISNUMBER(FIND("±", results!P146)), LEFT(results!P146, FIND("±", results!P146) - 1), results!P146)</f>
        <v xml:space="preserve">3.40 </v>
      </c>
      <c r="T150" s="19" t="str">
        <f>IF(ISNUMBER(FIND("±", results!Q146)), LEFT(results!Q146, FIND("±", results!Q146) - 1), results!Q146)</f>
        <v xml:space="preserve">55.54 </v>
      </c>
      <c r="U150">
        <v>0</v>
      </c>
      <c r="V150" s="6" t="str">
        <f>IF(ISNUMBER(FIND("±", results!S146)), LEFT(results!S146, FIND("±", results!S146) - 1), results!S146)</f>
        <v xml:space="preserve">3.39 </v>
      </c>
      <c r="W150" t="s">
        <v>1996</v>
      </c>
      <c r="X150">
        <v>0</v>
      </c>
      <c r="Y150" t="s">
        <v>1997</v>
      </c>
      <c r="Z150" t="s">
        <v>1998</v>
      </c>
      <c r="AA150">
        <v>0</v>
      </c>
      <c r="AB150" t="s">
        <v>1999</v>
      </c>
      <c r="AC150" t="s">
        <v>1998</v>
      </c>
      <c r="AD150">
        <v>0</v>
      </c>
      <c r="AE150" t="s">
        <v>2000</v>
      </c>
      <c r="AF150" t="s">
        <v>1998</v>
      </c>
      <c r="AG150">
        <v>0</v>
      </c>
      <c r="AH150" t="s">
        <v>2001</v>
      </c>
    </row>
    <row r="151" spans="4:34" ht="15.75" thickBot="1" x14ac:dyDescent="0.3">
      <c r="D151" s="4" t="s">
        <v>1571</v>
      </c>
      <c r="E151" s="4" t="str">
        <f>IF(ISNUMBER(FIND("±", results!B147)), LEFT(results!B147, FIND("±", results!B147) - 1), results!B147)</f>
        <v xml:space="preserve">210.32 </v>
      </c>
      <c r="F151" s="15" t="str">
        <f>IF(ISNUMBER(FIND("±", results!C147)), LEFT(results!C147, FIND("±", results!C147) - 1), results!C147)</f>
        <v xml:space="preserve">90.06 </v>
      </c>
      <c r="G151" s="7" t="str">
        <f>IF(ISNUMBER(FIND("±", results!D147)), LEFT(results!D147, FIND("±", results!D147) - 1), results!D147)</f>
        <v xml:space="preserve">53.92 </v>
      </c>
      <c r="H151" s="15" t="str">
        <f>IF(ISNUMBER(FIND("±", results!E147)), LEFT(results!E147, FIND("±", results!E147) - 1), results!E147)</f>
        <v xml:space="preserve">211.12 </v>
      </c>
      <c r="I151" s="15">
        <v>0</v>
      </c>
      <c r="J151" s="15" t="str">
        <f>IF(ISNUMBER(FIND("±", results!G147)), LEFT(results!G147, FIND("±", results!G147) - 1), results!G147)</f>
        <v xml:space="preserve">49.08 </v>
      </c>
      <c r="K151" s="30" t="str">
        <f>IF(ISNUMBER(FIND("±", results!H147)), LEFT(results!H147, FIND("±", results!H147) - 1), results!H147)</f>
        <v xml:space="preserve">76.32 </v>
      </c>
      <c r="L151" s="15">
        <v>0</v>
      </c>
      <c r="M151" s="31" t="str">
        <f>IF(ISNUMBER(FIND("±", results!J147)), LEFT(results!J147, FIND("±", results!J147) - 1), results!J147)</f>
        <v xml:space="preserve">9.72 </v>
      </c>
      <c r="N151" s="23" t="str">
        <f>IF(ISNUMBER(FIND("±", results!K147)), LEFT(results!K147, FIND("±", results!K147) - 1), results!K147)</f>
        <v xml:space="preserve">76.32 </v>
      </c>
      <c r="O151" s="15">
        <v>0</v>
      </c>
      <c r="P151" s="15" t="str">
        <f>IF(ISNUMBER(FIND("±", results!M147)), LEFT(results!M147, FIND("±", results!M147) - 1), results!M147)</f>
        <v xml:space="preserve">14.90 </v>
      </c>
      <c r="Q151" s="30" t="str">
        <f>IF(ISNUMBER(FIND("±", results!N147)), LEFT(results!N147, FIND("±", results!N147) - 1), results!N147)</f>
        <v xml:space="preserve">76.32 </v>
      </c>
      <c r="R151" s="15">
        <v>0</v>
      </c>
      <c r="S151" s="7" t="str">
        <f>IF(ISNUMBER(FIND("±", results!P147)), LEFT(results!P147, FIND("±", results!P147) - 1), results!P147)</f>
        <v xml:space="preserve">15.69 </v>
      </c>
      <c r="T151" s="23" t="str">
        <f>IF(ISNUMBER(FIND("±", results!Q147)), LEFT(results!Q147, FIND("±", results!Q147) - 1), results!Q147)</f>
        <v xml:space="preserve">76.32 </v>
      </c>
      <c r="U151" s="15">
        <v>0</v>
      </c>
      <c r="V151" s="7" t="str">
        <f>IF(ISNUMBER(FIND("±", results!S147)), LEFT(results!S147, FIND("±", results!S147) - 1), results!S147)</f>
        <v xml:space="preserve">15.47 </v>
      </c>
      <c r="W151" t="s">
        <v>2002</v>
      </c>
      <c r="X151">
        <v>0</v>
      </c>
      <c r="Y151" t="s">
        <v>2003</v>
      </c>
      <c r="Z151" t="s">
        <v>2004</v>
      </c>
      <c r="AA151">
        <v>0</v>
      </c>
      <c r="AB151" t="s">
        <v>2005</v>
      </c>
      <c r="AC151" t="s">
        <v>2004</v>
      </c>
      <c r="AD151">
        <v>0</v>
      </c>
      <c r="AE151" t="s">
        <v>2005</v>
      </c>
      <c r="AF151" t="s">
        <v>2004</v>
      </c>
      <c r="AG151">
        <v>0</v>
      </c>
      <c r="AH151" t="s">
        <v>2006</v>
      </c>
    </row>
    <row r="154" spans="4:34" ht="15.75" thickBot="1" x14ac:dyDescent="0.3"/>
    <row r="155" spans="4:34" ht="15.75" thickBot="1" x14ac:dyDescent="0.3">
      <c r="D155" s="214" t="s">
        <v>1534</v>
      </c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5"/>
    </row>
    <row r="156" spans="4:34" x14ac:dyDescent="0.25">
      <c r="D156" s="211" t="s">
        <v>1035</v>
      </c>
      <c r="E156" s="221" t="s">
        <v>46</v>
      </c>
      <c r="F156" s="221"/>
      <c r="G156" s="221"/>
      <c r="H156" s="214" t="s">
        <v>34</v>
      </c>
      <c r="I156" s="216"/>
      <c r="J156" s="215"/>
      <c r="K156" s="214" t="s">
        <v>32</v>
      </c>
      <c r="L156" s="216"/>
      <c r="M156" s="215"/>
      <c r="N156" s="216" t="s">
        <v>1130</v>
      </c>
      <c r="O156" s="216"/>
      <c r="P156" s="215"/>
      <c r="Q156" s="214" t="s">
        <v>1131</v>
      </c>
      <c r="R156" s="216"/>
      <c r="S156" s="215"/>
      <c r="T156" s="216" t="s">
        <v>1132</v>
      </c>
      <c r="U156" s="216"/>
      <c r="V156" s="215"/>
    </row>
    <row r="157" spans="4:34" ht="15.75" thickBot="1" x14ac:dyDescent="0.3">
      <c r="D157" s="212"/>
      <c r="E157" s="4" t="s">
        <v>1572</v>
      </c>
      <c r="F157" s="15" t="s">
        <v>1533</v>
      </c>
      <c r="G157" s="7" t="s">
        <v>48</v>
      </c>
      <c r="H157" s="15" t="s">
        <v>1572</v>
      </c>
      <c r="I157" s="15" t="s">
        <v>1533</v>
      </c>
      <c r="J157" s="15" t="s">
        <v>48</v>
      </c>
      <c r="K157" s="4" t="s">
        <v>1572</v>
      </c>
      <c r="L157" s="15" t="s">
        <v>1533</v>
      </c>
      <c r="M157" s="7" t="s">
        <v>48</v>
      </c>
      <c r="N157" s="15" t="s">
        <v>1572</v>
      </c>
      <c r="O157" s="15" t="s">
        <v>1533</v>
      </c>
      <c r="P157" s="15" t="s">
        <v>48</v>
      </c>
      <c r="Q157" s="4" t="s">
        <v>1572</v>
      </c>
      <c r="R157" s="15" t="s">
        <v>1533</v>
      </c>
      <c r="S157" s="7" t="s">
        <v>48</v>
      </c>
      <c r="T157" s="15" t="s">
        <v>1572</v>
      </c>
      <c r="U157" s="15" t="s">
        <v>1533</v>
      </c>
      <c r="V157" s="7" t="s">
        <v>48</v>
      </c>
    </row>
    <row r="158" spans="4:34" x14ac:dyDescent="0.25">
      <c r="D158" s="9" t="s">
        <v>1561</v>
      </c>
      <c r="E158" s="165" t="str">
        <f>IF(ISNUMBER(FIND("±", results!B154)), LEFT(results!B154, FIND("±", results!B154) - 2), results!B154)</f>
        <v>93.40</v>
      </c>
      <c r="F158" s="165" t="str">
        <f>IF(ISNUMBER(FIND("±", results!C154)), LEFT(results!C154, FIND("±", results!C154) - 1), results!C154)</f>
        <v xml:space="preserve">2.16 </v>
      </c>
      <c r="G158" s="171" t="str">
        <f>IF(ISNUMBER(FIND("±", results!D154)), LEFT(results!D154, FIND("±", results!D154) - 1), results!D154)</f>
        <v xml:space="preserve">0.91 </v>
      </c>
      <c r="H158" s="167" t="str">
        <f>IF(ISNUMBER(FIND("±", results!E154)), LEFT(results!E154, FIND("±", results!E154) - 1), results!E154)</f>
        <v xml:space="preserve">137.86 </v>
      </c>
      <c r="I158" s="14">
        <f>IF(ISNUMBER(FIND("±", results!F154)), LEFT(results!F154, FIND("±", results!F154) - 1), results!F154)</f>
        <v>0</v>
      </c>
      <c r="J158" s="162" t="str">
        <f>IF(ISNUMBER(FIND("±", results!G154)), LEFT(results!G154, FIND("±", results!G154) - 1), results!G154)</f>
        <v xml:space="preserve">2.51 </v>
      </c>
      <c r="K158" s="167" t="str">
        <f>IF(ISNUMBER(FIND("±", results!H154)), LEFT(results!H154, FIND("±", results!H154) - 1), results!H154)</f>
        <v xml:space="preserve">100.52 </v>
      </c>
      <c r="L158" s="14">
        <v>0</v>
      </c>
      <c r="M158" s="162" t="str">
        <f>IF(ISNUMBER(FIND("±", results!J154)), LEFT(results!J154, FIND("±", results!J154) - 1), results!J154)</f>
        <v xml:space="preserve">1.33 </v>
      </c>
      <c r="N158" s="165" t="str">
        <f>IF(ISNUMBER(FIND("±", results!K154)), LEFT(results!K154, FIND("±", results!K154) - 1), results!K154)</f>
        <v xml:space="preserve">83.54 </v>
      </c>
      <c r="O158" s="14">
        <v>0</v>
      </c>
      <c r="P158" s="162" t="str">
        <f>IF(ISNUMBER(FIND("±", results!M154)), LEFT(results!M154, FIND("±", results!M154) - 1), results!M154)</f>
        <v xml:space="preserve">2.02 </v>
      </c>
      <c r="Q158" s="170" t="str">
        <f>IF(ISNUMBER(FIND("±", results!N154)), LEFT(results!N154, FIND("±", results!N154) - 1), results!N154)</f>
        <v xml:space="preserve">80.94 </v>
      </c>
      <c r="R158" s="14">
        <v>0</v>
      </c>
      <c r="S158" s="162" t="str">
        <f>IF(ISNUMBER(FIND("±", results!P154)), LEFT(results!P154, FIND("±", results!P154) - 1), results!P154)</f>
        <v xml:space="preserve">2.05 </v>
      </c>
      <c r="T158" s="165" t="str">
        <f>IF(ISNUMBER(FIND("±", results!Q154)), LEFT(results!Q154, FIND("±", results!Q154) - 1), results!Q154)</f>
        <v xml:space="preserve">82.70 </v>
      </c>
      <c r="U158" s="14">
        <v>0</v>
      </c>
      <c r="V158" s="162" t="str">
        <f>IF(ISNUMBER(FIND("±", results!S154)), LEFT(results!S154, FIND("±", results!S154) - 1), results!S154)</f>
        <v xml:space="preserve">2.46 </v>
      </c>
    </row>
    <row r="159" spans="4:34" ht="15.75" thickBot="1" x14ac:dyDescent="0.3">
      <c r="D159" s="10" t="s">
        <v>1562</v>
      </c>
      <c r="E159" s="32" t="str">
        <f>IF(ISNUMBER(FIND("±", results!B155)), LEFT(results!B155, FIND("±", results!B155) - 1), results!B155)</f>
        <v xml:space="preserve">104.58 </v>
      </c>
      <c r="F159" s="33" t="str">
        <f>IF(ISNUMBER(FIND("±", results!C155)), LEFT(results!C155, FIND("±", results!C155) - 1), results!C155)</f>
        <v xml:space="preserve">2.94 </v>
      </c>
      <c r="G159" s="32" t="str">
        <f>IF(ISNUMBER(FIND("±", results!D155)), LEFT(results!D155, FIND("±", results!D155) - 1), results!D155)</f>
        <v xml:space="preserve">1.96 </v>
      </c>
      <c r="H159" s="168" t="str">
        <f>IF(ISNUMBER(FIND("±", results!E155)), LEFT(results!E155, FIND("±", results!E155) - 1), results!E155)</f>
        <v xml:space="preserve">146.28 </v>
      </c>
      <c r="I159">
        <f>IF(ISNUMBER(FIND("±", results!F155)), LEFT(results!F155, FIND("±", results!F155) - 1), results!F155)</f>
        <v>0</v>
      </c>
      <c r="J159" s="163" t="str">
        <f>IF(ISNUMBER(FIND("±", results!G155)), LEFT(results!G155, FIND("±", results!G155) - 1), results!G155)</f>
        <v xml:space="preserve">4.84 </v>
      </c>
      <c r="K159" s="168" t="str">
        <f>IF(ISNUMBER(FIND("±", results!H155)), LEFT(results!H155, FIND("±", results!H155) - 1), results!H155)</f>
        <v xml:space="preserve">115.52 </v>
      </c>
      <c r="L159">
        <v>0</v>
      </c>
      <c r="M159" s="163" t="str">
        <f>IF(ISNUMBER(FIND("±", results!J155)), LEFT(results!J155, FIND("±", results!J155) - 1), results!J155)</f>
        <v xml:space="preserve">2.79 </v>
      </c>
      <c r="N159" s="33" t="str">
        <f>IF(ISNUMBER(FIND("±", results!K155)), LEFT(results!K155, FIND("±", results!K155) - 1), results!K155)</f>
        <v xml:space="preserve">105.28 </v>
      </c>
      <c r="O159">
        <v>0</v>
      </c>
      <c r="P159" s="163" t="str">
        <f>IF(ISNUMBER(FIND("±", results!M155)), LEFT(results!M155, FIND("±", results!M155) - 1), results!M155)</f>
        <v xml:space="preserve">4.73 </v>
      </c>
      <c r="Q159" s="168" t="str">
        <f>IF(ISNUMBER(FIND("±", results!N155)), LEFT(results!N155, FIND("±", results!N155) - 1), results!N155)</f>
        <v xml:space="preserve">106.44 </v>
      </c>
      <c r="R159">
        <v>0</v>
      </c>
      <c r="S159" s="163" t="str">
        <f>IF(ISNUMBER(FIND("±", results!P155)), LEFT(results!P155, FIND("±", results!P155) - 1), results!P155)</f>
        <v xml:space="preserve">4.96 </v>
      </c>
      <c r="T159" s="33" t="str">
        <f>IF(ISNUMBER(FIND("±", results!Q155)), LEFT(results!Q155, FIND("±", results!Q155) - 1), results!Q155)</f>
        <v xml:space="preserve">105.48 </v>
      </c>
      <c r="U159">
        <v>0</v>
      </c>
      <c r="V159" s="163" t="str">
        <f>IF(ISNUMBER(FIND("±", results!S155)), LEFT(results!S155, FIND("±", results!S155) - 1), results!S155)</f>
        <v xml:space="preserve">5.56 </v>
      </c>
    </row>
    <row r="160" spans="4:34" ht="15.75" thickBot="1" x14ac:dyDescent="0.3">
      <c r="D160" s="11" t="s">
        <v>1563</v>
      </c>
      <c r="E160" s="174" t="str">
        <f>IF(ISNUMBER(FIND("±", results!B156)), LEFT(results!B156, FIND("±", results!B156) - 1), results!B156)</f>
        <v xml:space="preserve">164.26 </v>
      </c>
      <c r="F160" s="174" t="str">
        <f>IF(ISNUMBER(FIND("±", results!C156)), LEFT(results!C156, FIND("±", results!C156) - 1), results!C156)</f>
        <v xml:space="preserve">3.06 </v>
      </c>
      <c r="G160" s="175" t="str">
        <f>IF(ISNUMBER(FIND("±", results!D156)), LEFT(results!D156, FIND("±", results!D156) - 1), results!D156)</f>
        <v xml:space="preserve">5.32 </v>
      </c>
      <c r="H160" s="177" t="str">
        <f>IF(ISNUMBER(FIND("±", results!E156)), LEFT(results!E156, FIND("±", results!E156) - 1), results!E156)</f>
        <v xml:space="preserve">250.36 </v>
      </c>
      <c r="I160" s="15">
        <f>IF(ISNUMBER(FIND("±", results!F156)), LEFT(results!F156, FIND("±", results!F156) - 1), results!F156)</f>
        <v>0</v>
      </c>
      <c r="J160" s="176" t="str">
        <f>IF(ISNUMBER(FIND("±", results!G156)), LEFT(results!G156, FIND("±", results!G156) - 1), results!G156)</f>
        <v xml:space="preserve">14.75 </v>
      </c>
      <c r="K160" s="177" t="str">
        <f>IF(ISNUMBER(FIND("±", results!H156)), LEFT(results!H156, FIND("±", results!H156) - 1), results!H156)</f>
        <v xml:space="preserve">184.90 </v>
      </c>
      <c r="L160" s="14">
        <v>0</v>
      </c>
      <c r="M160" s="176" t="str">
        <f>IF(ISNUMBER(FIND("±", results!J156)), LEFT(results!J156, FIND("±", results!J156) - 1), results!J156)</f>
        <v xml:space="preserve">7.85 </v>
      </c>
      <c r="N160" s="174" t="str">
        <f>IF(ISNUMBER(FIND("±", results!K156)), LEFT(results!K156, FIND("±", results!K156) - 1), results!K156)</f>
        <v xml:space="preserve">148.02 </v>
      </c>
      <c r="O160" s="14">
        <v>0</v>
      </c>
      <c r="P160" s="176" t="str">
        <f>IF(ISNUMBER(FIND("±", results!M156)), LEFT(results!M156, FIND("±", results!M156) - 1), results!M156)</f>
        <v xml:space="preserve">11.50 </v>
      </c>
      <c r="Q160" s="177" t="str">
        <f>IF(ISNUMBER(FIND("±", results!N156)), LEFT(results!N156, FIND("±", results!N156) - 1), results!N156)</f>
        <v xml:space="preserve">153.10 </v>
      </c>
      <c r="R160" s="14">
        <v>0</v>
      </c>
      <c r="S160" s="176" t="str">
        <f>IF(ISNUMBER(FIND("±", results!P156)), LEFT(results!P156, FIND("±", results!P156) - 1), results!P156)</f>
        <v xml:space="preserve">12.39 </v>
      </c>
      <c r="T160" s="175" t="str">
        <f>IF(ISNUMBER(FIND("±", results!Q156)), LEFT(results!Q156, FIND("±", results!Q156) - 1), results!Q156)</f>
        <v xml:space="preserve">146.16 </v>
      </c>
      <c r="U160" s="14">
        <v>0</v>
      </c>
      <c r="V160" s="176" t="str">
        <f>IF(ISNUMBER(FIND("±", results!S156)), LEFT(results!S156, FIND("±", results!S156) - 1), results!S156)</f>
        <v xml:space="preserve">12.13 </v>
      </c>
    </row>
    <row r="161" spans="4:33" ht="15.75" thickBot="1" x14ac:dyDescent="0.3">
      <c r="D161" s="10" t="s">
        <v>1564</v>
      </c>
      <c r="E161" s="33" t="str">
        <f>IF(ISNUMBER(FIND("±", results!B157)), LEFT(results!B157, FIND("±", results!B157) - 1), results!B157)</f>
        <v xml:space="preserve">723.50 </v>
      </c>
      <c r="F161" s="33" t="str">
        <f>IF(ISNUMBER(FIND("±", results!C157)), LEFT(results!C157, FIND("±", results!C157) - 1), results!C157)</f>
        <v xml:space="preserve">3.86 </v>
      </c>
      <c r="G161" s="33" t="str">
        <f>IF(ISNUMBER(FIND("±", results!D157)), LEFT(results!D157, FIND("±", results!D157) - 1), results!D157)</f>
        <v xml:space="preserve">108.55 </v>
      </c>
      <c r="H161" s="168" t="str">
        <f>IF(ISNUMBER(FIND("±", results!E157)), LEFT(results!E157, FIND("±", results!E157) - 1), results!E157)</f>
        <v xml:space="preserve">778.34 </v>
      </c>
      <c r="I161">
        <f>IF(ISNUMBER(FIND("±", results!F157)), LEFT(results!F157, FIND("±", results!F157) - 1), results!F157)</f>
        <v>0</v>
      </c>
      <c r="J161" s="163" t="str">
        <f>IF(ISNUMBER(FIND("±", results!G157)), LEFT(results!G157, FIND("±", results!G157) - 1), results!G157)</f>
        <v xml:space="preserve">121.88 </v>
      </c>
      <c r="K161" s="168" t="str">
        <f>IF(ISNUMBER(FIND("±", results!H157)), LEFT(results!H157, FIND("±", results!H157) - 1), results!H157)</f>
        <v xml:space="preserve">736.87 </v>
      </c>
      <c r="L161">
        <v>0</v>
      </c>
      <c r="M161" s="163" t="str">
        <f>IF(ISNUMBER(FIND("±", results!J157)), LEFT(results!J157, FIND("±", results!J157) - 1), results!J157)</f>
        <v xml:space="preserve">92.64 </v>
      </c>
      <c r="N161" s="32" t="str">
        <f>IF(ISNUMBER(FIND("±", results!K157)), LEFT(results!K157, FIND("±", results!K157) - 1), results!K157)</f>
        <v xml:space="preserve">666.70 </v>
      </c>
      <c r="O161">
        <v>0</v>
      </c>
      <c r="P161" s="166" t="str">
        <f>IF(ISNUMBER(FIND("±", results!M157)), LEFT(results!M157, FIND("±", results!M157) - 1), results!M157)</f>
        <v xml:space="preserve">88.20 </v>
      </c>
      <c r="Q161" s="168" t="str">
        <f>IF(ISNUMBER(FIND("±", results!N157)), LEFT(results!N157, FIND("±", results!N157) - 1), results!N157)</f>
        <v xml:space="preserve">724.28 </v>
      </c>
      <c r="R161">
        <v>0</v>
      </c>
      <c r="S161" s="163" t="str">
        <f>IF(ISNUMBER(FIND("±", results!P157)), LEFT(results!P157, FIND("±", results!P157) - 1), results!P157)</f>
        <v xml:space="preserve">101.64 </v>
      </c>
      <c r="T161" s="33" t="str">
        <f>IF(ISNUMBER(FIND("±", results!Q157)), LEFT(results!Q157, FIND("±", results!Q157) - 1), results!Q157)</f>
        <v xml:space="preserve">709.56 </v>
      </c>
      <c r="U161">
        <v>0</v>
      </c>
      <c r="V161" s="163" t="str">
        <f>IF(ISNUMBER(FIND("±", results!S157)), LEFT(results!S157, FIND("±", results!S157) - 1), results!S157)</f>
        <v xml:space="preserve">109.42 </v>
      </c>
    </row>
    <row r="162" spans="4:33" x14ac:dyDescent="0.25">
      <c r="D162" s="10" t="s">
        <v>1565</v>
      </c>
      <c r="E162" s="33" t="str">
        <f>IF(ISNUMBER(FIND("±", results!B158)), LEFT(results!B158, FIND("±", results!B158) - 1), results!B158)</f>
        <v xml:space="preserve">486.52 </v>
      </c>
      <c r="F162" s="33" t="str">
        <f>IF(ISNUMBER(FIND("±", results!C158)), LEFT(results!C158, FIND("±", results!C158) - 1), results!C158)</f>
        <v xml:space="preserve">1.42 </v>
      </c>
      <c r="G162" s="32" t="str">
        <f>IF(ISNUMBER(FIND("±", results!D158)), LEFT(results!D158, FIND("±", results!D158) - 1), results!D158)</f>
        <v xml:space="preserve">118.31 </v>
      </c>
      <c r="H162" s="168" t="str">
        <f>IF(ISNUMBER(FIND("±", results!E158)), LEFT(results!E158, FIND("±", results!E158) - 1), results!E158)</f>
        <v xml:space="preserve">555.18 </v>
      </c>
      <c r="I162">
        <f>IF(ISNUMBER(FIND("±", results!F158)), LEFT(results!F158, FIND("±", results!F158) - 1), results!F158)</f>
        <v>0</v>
      </c>
      <c r="J162" s="163" t="str">
        <f>IF(ISNUMBER(FIND("±", results!G158)), LEFT(results!G158, FIND("±", results!G158) - 1), results!G158)</f>
        <v xml:space="preserve">152.39 </v>
      </c>
      <c r="K162" s="168" t="str">
        <f>IF(ISNUMBER(FIND("±", results!H158)), LEFT(results!H158, FIND("±", results!H158) - 1), results!H158)</f>
        <v xml:space="preserve">462.12 </v>
      </c>
      <c r="L162" s="14">
        <v>0</v>
      </c>
      <c r="M162" s="163" t="str">
        <f>IF(ISNUMBER(FIND("±", results!J158)), LEFT(results!J158, FIND("±", results!J158) - 1), results!J158)</f>
        <v xml:space="preserve">137.74 </v>
      </c>
      <c r="N162" s="33" t="str">
        <f>IF(ISNUMBER(FIND("±", results!K158)), LEFT(results!K158, FIND("±", results!K158) - 1), results!K158)</f>
        <v xml:space="preserve">518.42 </v>
      </c>
      <c r="O162" s="14">
        <v>0</v>
      </c>
      <c r="P162" s="163" t="str">
        <f>IF(ISNUMBER(FIND("±", results!M158)), LEFT(results!M158, FIND("±", results!M158) - 1), results!M158)</f>
        <v xml:space="preserve">155.98 </v>
      </c>
      <c r="Q162" s="169" t="str">
        <f>IF(ISNUMBER(FIND("±", results!N158)), LEFT(results!N158, FIND("±", results!N158) - 1), results!N158)</f>
        <v xml:space="preserve">434.04 </v>
      </c>
      <c r="R162" s="14">
        <v>0</v>
      </c>
      <c r="S162" s="163" t="str">
        <f>IF(ISNUMBER(FIND("±", results!P158)), LEFT(results!P158, FIND("±", results!P158) - 1), results!P158)</f>
        <v xml:space="preserve">137.34 </v>
      </c>
      <c r="T162" s="33" t="str">
        <f>IF(ISNUMBER(FIND("±", results!Q158)), LEFT(results!Q158, FIND("±", results!Q158) - 1), results!Q158)</f>
        <v xml:space="preserve">555.32 </v>
      </c>
      <c r="U162" s="14">
        <v>0</v>
      </c>
      <c r="V162" s="163" t="str">
        <f>IF(ISNUMBER(FIND("±", results!S158)), LEFT(results!S158, FIND("±", results!S158) - 1), results!S158)</f>
        <v xml:space="preserve">166.09 </v>
      </c>
    </row>
    <row r="163" spans="4:33" ht="15.75" thickBot="1" x14ac:dyDescent="0.3">
      <c r="D163" s="10" t="s">
        <v>1566</v>
      </c>
      <c r="E163" s="33" t="str">
        <f>IF(ISNUMBER(FIND("±", results!B159)), LEFT(results!B159, FIND("±", results!B159) - 1), results!B159)</f>
        <v xml:space="preserve">855.20 </v>
      </c>
      <c r="F163" s="33" t="str">
        <f>IF(ISNUMBER(FIND("±", results!C159)), LEFT(results!C159, FIND("±", results!C159) - 1), results!C159)</f>
        <v xml:space="preserve">2.60 </v>
      </c>
      <c r="G163" s="32" t="str">
        <f>IF(ISNUMBER(FIND("±", results!D159)), LEFT(results!D159, FIND("±", results!D159) - 1), results!D159)</f>
        <v xml:space="preserve">242.37 </v>
      </c>
      <c r="H163" s="168" t="str">
        <f>IF(ISNUMBER(FIND("±", results!E159)), LEFT(results!E159, FIND("±", results!E159) - 1), results!E159)</f>
        <v xml:space="preserve">903.28 </v>
      </c>
      <c r="I163">
        <f>IF(ISNUMBER(FIND("±", results!F159)), LEFT(results!F159, FIND("±", results!F159) - 1), results!F159)</f>
        <v>0</v>
      </c>
      <c r="J163" s="163" t="str">
        <f>IF(ISNUMBER(FIND("±", results!G159)), LEFT(results!G159, FIND("±", results!G159) - 1), results!G159)</f>
        <v xml:space="preserve">264.81 </v>
      </c>
      <c r="K163" s="168" t="str">
        <f>IF(ISNUMBER(FIND("±", results!H159)), LEFT(results!H159, FIND("±", results!H159) - 1), results!H159)</f>
        <v xml:space="preserve">847.52 </v>
      </c>
      <c r="L163">
        <v>0</v>
      </c>
      <c r="M163" s="163" t="str">
        <f>IF(ISNUMBER(FIND("±", results!J159)), LEFT(results!J159, FIND("±", results!J159) - 1), results!J159)</f>
        <v xml:space="preserve">252.09 </v>
      </c>
      <c r="N163" s="33" t="str">
        <f>IF(ISNUMBER(FIND("±", results!K159)), LEFT(results!K159, FIND("±", results!K159) - 1), results!K159)</f>
        <v xml:space="preserve">950.92 </v>
      </c>
      <c r="O163">
        <v>0</v>
      </c>
      <c r="P163" s="163" t="str">
        <f>IF(ISNUMBER(FIND("±", results!M159)), LEFT(results!M159, FIND("±", results!M159) - 1), results!M159)</f>
        <v xml:space="preserve">283.15 </v>
      </c>
      <c r="Q163" s="169" t="str">
        <f>IF(ISNUMBER(FIND("±", results!N159)), LEFT(results!N159, FIND("±", results!N159) - 1), results!N159)</f>
        <v xml:space="preserve">988.06 </v>
      </c>
      <c r="R163">
        <v>0</v>
      </c>
      <c r="S163" s="163" t="str">
        <f>IF(ISNUMBER(FIND("±", results!P159)), LEFT(results!P159, FIND("±", results!P159) - 1), results!P159)</f>
        <v xml:space="preserve">298.24 </v>
      </c>
      <c r="T163" s="33" t="str">
        <f>IF(ISNUMBER(FIND("±", results!Q159)), LEFT(results!Q159, FIND("±", results!Q159) - 1), results!Q159)</f>
        <v xml:space="preserve">1103.32 </v>
      </c>
      <c r="U163">
        <v>0</v>
      </c>
      <c r="V163" s="163" t="str">
        <f>IF(ISNUMBER(FIND("±", results!S159)), LEFT(results!S159, FIND("±", results!S159) - 1), results!S159)</f>
        <v xml:space="preserve">337.83 </v>
      </c>
    </row>
    <row r="164" spans="4:33" ht="15.75" thickBot="1" x14ac:dyDescent="0.3">
      <c r="D164" s="12" t="s">
        <v>1567</v>
      </c>
      <c r="E164" s="33" t="str">
        <f>IF(ISNUMBER(FIND("±", results!B160)), LEFT(results!B160, FIND("±", results!B160) - 1), results!B160)</f>
        <v xml:space="preserve">141.98 </v>
      </c>
      <c r="F164" s="33" t="str">
        <f>IF(ISNUMBER(FIND("±", results!C160)), LEFT(results!C160, FIND("±", results!C160) - 1), results!C160)</f>
        <v xml:space="preserve">78.66 </v>
      </c>
      <c r="G164" s="32" t="str">
        <f>IF(ISNUMBER(FIND("±", results!D160)), LEFT(results!D160, FIND("±", results!D160) - 1), results!D160)</f>
        <v xml:space="preserve">20.55 </v>
      </c>
      <c r="H164" s="168" t="str">
        <f>IF(ISNUMBER(FIND("±", results!E160)), LEFT(results!E160, FIND("±", results!E160) - 1), results!E160)</f>
        <v xml:space="preserve">187.00 </v>
      </c>
      <c r="I164" t="str">
        <f>IF(ISNUMBER(FIND("±", results!F160)), LEFT(results!F160, FIND("±", results!F160) - 1), results!F160)</f>
        <v xml:space="preserve">0.00 </v>
      </c>
      <c r="J164" s="163" t="str">
        <f>IF(ISNUMBER(FIND("±", results!G160)), LEFT(results!G160, FIND("±", results!G160) - 1), results!G160)</f>
        <v xml:space="preserve">43.32 </v>
      </c>
      <c r="K164" s="168" t="str">
        <f>IF(ISNUMBER(FIND("±", results!H160)), LEFT(results!H160, FIND("±", results!H160) - 1), results!H160)</f>
        <v xml:space="preserve">127.82 </v>
      </c>
      <c r="L164" s="14">
        <v>0</v>
      </c>
      <c r="M164" s="163" t="str">
        <f>IF(ISNUMBER(FIND("±", results!J160)), LEFT(results!J160, FIND("±", results!J160) - 1), results!J160)</f>
        <v xml:space="preserve">26.06 </v>
      </c>
      <c r="N164" s="33" t="str">
        <f>IF(ISNUMBER(FIND("±", results!K160)), LEFT(results!K160, FIND("±", results!K160) - 1), results!K160)</f>
        <v xml:space="preserve">78.84 </v>
      </c>
      <c r="O164" s="14">
        <v>0</v>
      </c>
      <c r="P164" s="163" t="str">
        <f>IF(ISNUMBER(FIND("±", results!M160)), LEFT(results!M160, FIND("±", results!M160) - 1), results!M160)</f>
        <v xml:space="preserve">11.74 </v>
      </c>
      <c r="Q164" s="169" t="str">
        <f>IF(ISNUMBER(FIND("±", results!N160)), LEFT(results!N160, FIND("±", results!N160) - 1), results!N160)</f>
        <v xml:space="preserve">82.66 </v>
      </c>
      <c r="R164" s="14">
        <v>0</v>
      </c>
      <c r="S164" s="163" t="str">
        <f>IF(ISNUMBER(FIND("±", results!P160)), LEFT(results!P160, FIND("±", results!P160) - 1), results!P160)</f>
        <v xml:space="preserve">12.97 </v>
      </c>
      <c r="T164" s="33" t="str">
        <f>IF(ISNUMBER(FIND("±", results!Q160)), LEFT(results!Q160, FIND("±", results!Q160) - 1), results!Q160)</f>
        <v xml:space="preserve">80.44 </v>
      </c>
      <c r="U164" s="14">
        <v>0</v>
      </c>
      <c r="V164" s="163" t="str">
        <f>IF(ISNUMBER(FIND("±", results!S160)), LEFT(results!S160, FIND("±", results!S160) - 1), results!S160)</f>
        <v xml:space="preserve">12.86 </v>
      </c>
    </row>
    <row r="165" spans="4:33" ht="15.75" thickBot="1" x14ac:dyDescent="0.3">
      <c r="D165" s="10" t="s">
        <v>1568</v>
      </c>
      <c r="E165" s="33" t="str">
        <f>IF(ISNUMBER(FIND("±", results!B161)), LEFT(results!B161, FIND("±", results!B161) - 1), results!B161)</f>
        <v xml:space="preserve">29.24 </v>
      </c>
      <c r="F165" s="33" t="str">
        <f>IF(ISNUMBER(FIND("±", results!C161)), LEFT(results!C161, FIND("±", results!C161) - 1), results!C161)</f>
        <v xml:space="preserve">12.80 </v>
      </c>
      <c r="G165" s="32" t="str">
        <f>IF(ISNUMBER(FIND("±", results!D161)), LEFT(results!D161, FIND("±", results!D161) - 1), results!D161)</f>
        <v xml:space="preserve">1.18 </v>
      </c>
      <c r="H165" s="168" t="str">
        <f>IF(ISNUMBER(FIND("±", results!E161)), LEFT(results!E161, FIND("±", results!E161) - 1), results!E161)</f>
        <v xml:space="preserve">24.52 </v>
      </c>
      <c r="I165" t="str">
        <f>IF(ISNUMBER(FIND("±", results!F161)), LEFT(results!F161, FIND("±", results!F161) - 1), results!F161)</f>
        <v xml:space="preserve">0.00 </v>
      </c>
      <c r="J165" s="163" t="str">
        <f>IF(ISNUMBER(FIND("±", results!G161)), LEFT(results!G161, FIND("±", results!G161) - 1), results!G161)</f>
        <v xml:space="preserve">1.14 </v>
      </c>
      <c r="K165" s="168" t="str">
        <f>IF(ISNUMBER(FIND("±", results!H161)), LEFT(results!H161, FIND("±", results!H161) - 1), results!H161)</f>
        <v xml:space="preserve">17.00 </v>
      </c>
      <c r="L165">
        <v>0</v>
      </c>
      <c r="M165" s="163" t="str">
        <f>IF(ISNUMBER(FIND("±", results!J161)), LEFT(results!J161, FIND("±", results!J161) - 1), results!J161)</f>
        <v xml:space="preserve">0.96 </v>
      </c>
      <c r="N165" s="33" t="str">
        <f>IF(ISNUMBER(FIND("±", results!K161)), LEFT(results!K161, FIND("±", results!K161) - 1), results!K161)</f>
        <v xml:space="preserve">17.00 </v>
      </c>
      <c r="O165">
        <v>0</v>
      </c>
      <c r="P165" s="163" t="str">
        <f>IF(ISNUMBER(FIND("±", results!M161)), LEFT(results!M161, FIND("±", results!M161) - 1), results!M161)</f>
        <v xml:space="preserve">1.15 </v>
      </c>
      <c r="Q165" s="169" t="str">
        <f>IF(ISNUMBER(FIND("±", results!N161)), LEFT(results!N161, FIND("±", results!N161) - 1), results!N161)</f>
        <v xml:space="preserve">17.00 </v>
      </c>
      <c r="R165">
        <v>0</v>
      </c>
      <c r="S165" s="163" t="str">
        <f>IF(ISNUMBER(FIND("±", results!P161)), LEFT(results!P161, FIND("±", results!P161) - 1), results!P161)</f>
        <v xml:space="preserve">1.10 </v>
      </c>
      <c r="T165" s="33" t="str">
        <f>IF(ISNUMBER(FIND("±", results!Q161)), LEFT(results!Q161, FIND("±", results!Q161) - 1), results!Q161)</f>
        <v xml:space="preserve">17.00 </v>
      </c>
      <c r="U165">
        <v>0</v>
      </c>
      <c r="V165" s="163" t="str">
        <f>IF(ISNUMBER(FIND("±", results!S161)), LEFT(results!S161, FIND("±", results!S161) - 1), results!S161)</f>
        <v xml:space="preserve">1.21 </v>
      </c>
    </row>
    <row r="166" spans="4:33" x14ac:dyDescent="0.25">
      <c r="D166" s="9" t="s">
        <v>1045</v>
      </c>
      <c r="E166" s="33" t="str">
        <f>IF(ISNUMBER(FIND("±", results!B162)), LEFT(results!B162, FIND("±", results!B162) - 1), results!B162)</f>
        <v xml:space="preserve">184.31 </v>
      </c>
      <c r="F166" s="33" t="str">
        <f>IF(ISNUMBER(FIND("±", results!C162)), LEFT(results!C162, FIND("±", results!C162) - 1), results!C162)</f>
        <v xml:space="preserve">148.84 </v>
      </c>
      <c r="G166" s="32" t="str">
        <f>IF(ISNUMBER(FIND("±", results!D162)), LEFT(results!D162, FIND("±", results!D162) - 1), results!D162)</f>
        <v xml:space="preserve">5.87 </v>
      </c>
      <c r="H166" s="168" t="str">
        <f>IF(ISNUMBER(FIND("±", results!E162)), LEFT(results!E162, FIND("±", results!E162) - 1), results!E162)</f>
        <v xml:space="preserve">197.78 </v>
      </c>
      <c r="I166">
        <f>IF(ISNUMBER(FIND("±", results!F162)), LEFT(results!F162, FIND("±", results!F162) - 1), results!F162)</f>
        <v>0</v>
      </c>
      <c r="J166" s="163" t="str">
        <f>IF(ISNUMBER(FIND("±", results!G162)), LEFT(results!G162, FIND("±", results!G162) - 1), results!G162)</f>
        <v xml:space="preserve">8.56 </v>
      </c>
      <c r="K166" s="168" t="str">
        <f>IF(ISNUMBER(FIND("±", results!H162)), LEFT(results!H162, FIND("±", results!H162) - 1), results!H162)</f>
        <v xml:space="preserve">96.22 </v>
      </c>
      <c r="L166" s="14">
        <v>0</v>
      </c>
      <c r="M166" s="163" t="str">
        <f>IF(ISNUMBER(FIND("±", results!J162)), LEFT(results!J162, FIND("±", results!J162) - 1), results!J162)</f>
        <v xml:space="preserve">3.10 </v>
      </c>
      <c r="N166" s="33" t="str">
        <f>IF(ISNUMBER(FIND("±", results!K162)), LEFT(results!K162, FIND("±", results!K162) - 1), results!K162)</f>
        <v xml:space="preserve">67.31 </v>
      </c>
      <c r="O166" s="14">
        <v>0</v>
      </c>
      <c r="P166" s="163" t="str">
        <f>IF(ISNUMBER(FIND("±", results!M162)), LEFT(results!M162, FIND("±", results!M162) - 1), results!M162)</f>
        <v xml:space="preserve">3.15 </v>
      </c>
      <c r="Q166" s="169" t="str">
        <f>IF(ISNUMBER(FIND("±", results!N162)), LEFT(results!N162, FIND("±", results!N162) - 1), results!N162)</f>
        <v xml:space="preserve">60.39 </v>
      </c>
      <c r="R166" s="14">
        <v>0</v>
      </c>
      <c r="S166" s="163" t="str">
        <f>IF(ISNUMBER(FIND("±", results!P162)), LEFT(results!P162, FIND("±", results!P162) - 1), results!P162)</f>
        <v xml:space="preserve">2.72 </v>
      </c>
      <c r="T166" s="33" t="str">
        <f>IF(ISNUMBER(FIND("±", results!Q162)), LEFT(results!Q162, FIND("±", results!Q162) - 1), results!Q162)</f>
        <v xml:space="preserve">72.10 </v>
      </c>
      <c r="U166" s="14">
        <v>0</v>
      </c>
      <c r="V166" s="163" t="str">
        <f>IF(ISNUMBER(FIND("±", results!S162)), LEFT(results!S162, FIND("±", results!S162) - 1), results!S162)</f>
        <v xml:space="preserve">3.62 </v>
      </c>
    </row>
    <row r="167" spans="4:33" ht="15.75" thickBot="1" x14ac:dyDescent="0.3">
      <c r="D167" s="11" t="s">
        <v>1569</v>
      </c>
      <c r="E167" s="33" t="str">
        <f>IF(ISNUMBER(FIND("±", results!B163)), LEFT(results!B163, FIND("±", results!B163) - 1), results!B163)</f>
        <v xml:space="preserve">741.71 </v>
      </c>
      <c r="F167" s="33" t="str">
        <f>IF(ISNUMBER(FIND("±", results!C163)), LEFT(results!C163, FIND("±", results!C163) - 1), results!C163)</f>
        <v xml:space="preserve">661.00 </v>
      </c>
      <c r="G167" s="32" t="str">
        <f>IF(ISNUMBER(FIND("±", results!D163)), LEFT(results!D163, FIND("±", results!D163) - 1), results!D163)</f>
        <v xml:space="preserve">235.62 </v>
      </c>
      <c r="H167" s="168" t="str">
        <f>IF(ISNUMBER(FIND("±", results!E163)), LEFT(results!E163, FIND("±", results!E163) - 1), results!E163)</f>
        <v xml:space="preserve">799.47 </v>
      </c>
      <c r="I167">
        <f>IF(ISNUMBER(FIND("±", results!F163)), LEFT(results!F163, FIND("±", results!F163) - 1), results!F163)</f>
        <v>0</v>
      </c>
      <c r="J167" s="163" t="str">
        <f>IF(ISNUMBER(FIND("±", results!G163)), LEFT(results!G163, FIND("±", results!G163) - 1), results!G163)</f>
        <v xml:space="preserve">365.39 </v>
      </c>
      <c r="K167" s="168" t="str">
        <f>IF(ISNUMBER(FIND("±", results!H163)), LEFT(results!H163, FIND("±", results!H163) - 1), results!H163)</f>
        <v xml:space="preserve">438.88 </v>
      </c>
      <c r="L167">
        <v>0</v>
      </c>
      <c r="M167" s="163" t="str">
        <f>IF(ISNUMBER(FIND("±", results!J163)), LEFT(results!J163, FIND("±", results!J163) - 1), results!J163)</f>
        <v xml:space="preserve">114.28 </v>
      </c>
      <c r="N167" s="33" t="str">
        <f>IF(ISNUMBER(FIND("±", results!K163)), LEFT(results!K163, FIND("±", results!K163) - 1), results!K163)</f>
        <v xml:space="preserve">297.29 </v>
      </c>
      <c r="O167">
        <v>0</v>
      </c>
      <c r="P167" s="163" t="str">
        <f>IF(ISNUMBER(FIND("±", results!M163)), LEFT(results!M163, FIND("±", results!M163) - 1), results!M163)</f>
        <v xml:space="preserve">108.28 </v>
      </c>
      <c r="Q167" s="169" t="str">
        <f>IF(ISNUMBER(FIND("±", results!N163)), LEFT(results!N163, FIND("±", results!N163) - 1), results!N163)</f>
        <v xml:space="preserve">318.92 </v>
      </c>
      <c r="R167">
        <v>0</v>
      </c>
      <c r="S167" s="163" t="str">
        <f>IF(ISNUMBER(FIND("±", results!P163)), LEFT(results!P163, FIND("±", results!P163) - 1), results!P163)</f>
        <v xml:space="preserve">122.40 </v>
      </c>
      <c r="T167" s="33" t="str">
        <f>IF(ISNUMBER(FIND("±", results!Q163)), LEFT(results!Q163, FIND("±", results!Q163) - 1), results!Q163)</f>
        <v xml:space="preserve">299.55 </v>
      </c>
      <c r="U167">
        <v>0</v>
      </c>
      <c r="V167" s="163" t="str">
        <f>IF(ISNUMBER(FIND("±", results!S163)), LEFT(results!S163, FIND("±", results!S163) - 1), results!S163)</f>
        <v xml:space="preserve">116.96 </v>
      </c>
    </row>
    <row r="168" spans="4:33" x14ac:dyDescent="0.25">
      <c r="D168" s="10" t="s">
        <v>1570</v>
      </c>
      <c r="E168" s="33" t="str">
        <f>IF(ISNUMBER(FIND("±", results!B164)), LEFT(results!B164, FIND("±", results!B164) - 1), results!B164)</f>
        <v xml:space="preserve">106.06 </v>
      </c>
      <c r="F168" s="33" t="str">
        <f>IF(ISNUMBER(FIND("±", results!C164)), LEFT(results!C164, FIND("±", results!C164) - 1), results!C164)</f>
        <v xml:space="preserve">42.54 </v>
      </c>
      <c r="G168" s="32" t="str">
        <f>IF(ISNUMBER(FIND("±", results!D164)), LEFT(results!D164, FIND("±", results!D164) - 1), results!D164)</f>
        <v xml:space="preserve">7.03 </v>
      </c>
      <c r="H168" s="168" t="str">
        <f>IF(ISNUMBER(FIND("±", results!E164)), LEFT(results!E164, FIND("±", results!E164) - 1), results!E164)</f>
        <v xml:space="preserve">107.26 </v>
      </c>
      <c r="I168" t="str">
        <f>IF(ISNUMBER(FIND("±", results!F164)), LEFT(results!F164, FIND("±", results!F164) - 1), results!F164)</f>
        <v xml:space="preserve">0.00 </v>
      </c>
      <c r="J168" s="163" t="str">
        <f>IF(ISNUMBER(FIND("±", results!G164)), LEFT(results!G164, FIND("±", results!G164) - 1), results!G164)</f>
        <v xml:space="preserve">7.12 </v>
      </c>
      <c r="K168" s="168" t="str">
        <f>IF(ISNUMBER(FIND("±", results!H164)), LEFT(results!H164, FIND("±", results!H164) - 1), results!H164)</f>
        <v xml:space="preserve">104.00 </v>
      </c>
      <c r="L168" s="14">
        <v>0</v>
      </c>
      <c r="M168" s="163" t="str">
        <f>IF(ISNUMBER(FIND("±", results!J164)), LEFT(results!J164, FIND("±", results!J164) - 1), results!J164)</f>
        <v xml:space="preserve">7.65 </v>
      </c>
      <c r="N168" s="33" t="str">
        <f>IF(ISNUMBER(FIND("±", results!K164)), LEFT(results!K164, FIND("±", results!K164) - 1), results!K164)</f>
        <v xml:space="preserve">118.88 </v>
      </c>
      <c r="O168" s="14">
        <v>0</v>
      </c>
      <c r="P168" s="163" t="str">
        <f>IF(ISNUMBER(FIND("±", results!M164)), LEFT(results!M164, FIND("±", results!M164) - 1), results!M164)</f>
        <v xml:space="preserve">14.45 </v>
      </c>
      <c r="Q168" s="169" t="str">
        <f>IF(ISNUMBER(FIND("±", results!N164)), LEFT(results!N164, FIND("±", results!N164) - 1), results!N164)</f>
        <v xml:space="preserve">118.88 </v>
      </c>
      <c r="R168" s="14">
        <v>0</v>
      </c>
      <c r="S168" s="163" t="str">
        <f>IF(ISNUMBER(FIND("±", results!P164)), LEFT(results!P164, FIND("±", results!P164) - 1), results!P164)</f>
        <v xml:space="preserve">16.72 </v>
      </c>
      <c r="T168" s="33" t="str">
        <f>IF(ISNUMBER(FIND("±", results!Q164)), LEFT(results!Q164, FIND("±", results!Q164) - 1), results!Q164)</f>
        <v xml:space="preserve">118.88 </v>
      </c>
      <c r="U168" s="14">
        <v>0</v>
      </c>
      <c r="V168" s="163" t="str">
        <f>IF(ISNUMBER(FIND("±", results!S164)), LEFT(results!S164, FIND("±", results!S164) - 1), results!S164)</f>
        <v xml:space="preserve">16.41 </v>
      </c>
    </row>
    <row r="169" spans="4:33" ht="15.75" thickBot="1" x14ac:dyDescent="0.3">
      <c r="D169" s="11" t="s">
        <v>1571</v>
      </c>
      <c r="E169" s="33" t="str">
        <f>IF(ISNUMBER(FIND("±", results!B165)), LEFT(results!B165, FIND("±", results!B165) - 1), results!B165)</f>
        <v xml:space="preserve">205.00 </v>
      </c>
      <c r="F169" s="33" t="str">
        <f>IF(ISNUMBER(FIND("±", results!C165)), LEFT(results!C165, FIND("±", results!C165) - 1), results!C165)</f>
        <v xml:space="preserve">87.46 </v>
      </c>
      <c r="G169" s="32" t="str">
        <f>IF(ISNUMBER(FIND("±", results!D165)), LEFT(results!D165, FIND("±", results!D165) - 1), results!D165)</f>
        <v xml:space="preserve">51.67 </v>
      </c>
      <c r="H169" s="168" t="str">
        <f>IF(ISNUMBER(FIND("±", results!E165)), LEFT(results!E165, FIND("±", results!E165) - 1), results!E165)</f>
        <v xml:space="preserve">206.00 </v>
      </c>
      <c r="I169">
        <f>IF(ISNUMBER(FIND("±", results!F165)), LEFT(results!F165, FIND("±", results!F165) - 1), results!F165)</f>
        <v>0</v>
      </c>
      <c r="J169" s="163" t="str">
        <f>IF(ISNUMBER(FIND("±", results!G165)), LEFT(results!G165, FIND("±", results!G165) - 1), results!G165)</f>
        <v xml:space="preserve">47.26 </v>
      </c>
      <c r="K169" s="168" t="str">
        <f>IF(ISNUMBER(FIND("±", results!H165)), LEFT(results!H165, FIND("±", results!H165) - 1), results!H165)</f>
        <v xml:space="preserve">142.85 </v>
      </c>
      <c r="L169">
        <v>0</v>
      </c>
      <c r="M169" s="163" t="str">
        <f>IF(ISNUMBER(FIND("±", results!J165)), LEFT(results!J165, FIND("±", results!J165) - 1), results!J165)</f>
        <v xml:space="preserve">31.35 </v>
      </c>
      <c r="N169" s="33" t="str">
        <f>IF(ISNUMBER(FIND("±", results!K165)), LEFT(results!K165, FIND("±", results!K165) - 1), results!K165)</f>
        <v xml:space="preserve">128.20 </v>
      </c>
      <c r="O169">
        <v>0</v>
      </c>
      <c r="P169" s="163" t="str">
        <f>IF(ISNUMBER(FIND("±", results!M165)), LEFT(results!M165, FIND("±", results!M165) - 1), results!M165)</f>
        <v xml:space="preserve">54.74 </v>
      </c>
      <c r="Q169" s="169" t="str">
        <f>IF(ISNUMBER(FIND("±", results!N165)), LEFT(results!N165, FIND("±", results!N165) - 1), results!N165)</f>
        <v xml:space="preserve">128.20 </v>
      </c>
      <c r="R169">
        <v>0</v>
      </c>
      <c r="S169" s="163" t="str">
        <f>IF(ISNUMBER(FIND("±", results!P165)), LEFT(results!P165, FIND("±", results!P165) - 1), results!P165)</f>
        <v xml:space="preserve">54.74 </v>
      </c>
      <c r="T169" s="33" t="str">
        <f>IF(ISNUMBER(FIND("±", results!Q165)), LEFT(results!Q165, FIND("±", results!Q165) - 1), results!Q165)</f>
        <v xml:space="preserve">128.20 </v>
      </c>
      <c r="U169">
        <v>0</v>
      </c>
      <c r="V169" s="163" t="str">
        <f>IF(ISNUMBER(FIND("±", results!S165)), LEFT(results!S165, FIND("±", results!S165) - 1), results!S165)</f>
        <v xml:space="preserve">61.67 </v>
      </c>
    </row>
    <row r="171" spans="4:33" ht="15.75" thickBot="1" x14ac:dyDescent="0.3"/>
    <row r="172" spans="4:33" ht="15.75" thickBot="1" x14ac:dyDescent="0.3">
      <c r="T172" s="9" t="s">
        <v>1035</v>
      </c>
      <c r="U172" s="214" t="s">
        <v>46</v>
      </c>
      <c r="V172" s="216"/>
      <c r="W172" s="215"/>
      <c r="X172" s="214" t="s">
        <v>34</v>
      </c>
      <c r="Y172" s="215"/>
      <c r="Z172" s="214" t="s">
        <v>32</v>
      </c>
      <c r="AA172" s="215"/>
      <c r="AB172" s="214" t="s">
        <v>2090</v>
      </c>
      <c r="AC172" s="215"/>
      <c r="AD172" s="214" t="s">
        <v>2091</v>
      </c>
      <c r="AE172" s="215"/>
      <c r="AF172" s="214" t="s">
        <v>2092</v>
      </c>
      <c r="AG172" s="215"/>
    </row>
    <row r="173" spans="4:33" ht="15.75" thickBot="1" x14ac:dyDescent="0.3">
      <c r="D173" s="217" t="s">
        <v>2229</v>
      </c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9"/>
      <c r="T173" s="11"/>
      <c r="U173" s="4" t="s">
        <v>1572</v>
      </c>
      <c r="V173" s="15" t="s">
        <v>1533</v>
      </c>
      <c r="W173" s="7" t="s">
        <v>48</v>
      </c>
      <c r="X173" s="15" t="s">
        <v>1572</v>
      </c>
      <c r="Y173" s="15" t="s">
        <v>48</v>
      </c>
      <c r="Z173" s="4" t="s">
        <v>1572</v>
      </c>
      <c r="AA173" s="7" t="s">
        <v>48</v>
      </c>
      <c r="AB173" s="15" t="s">
        <v>1572</v>
      </c>
      <c r="AC173" s="15" t="s">
        <v>48</v>
      </c>
      <c r="AD173" s="4" t="s">
        <v>1572</v>
      </c>
      <c r="AE173" s="7" t="s">
        <v>48</v>
      </c>
      <c r="AF173" s="15" t="s">
        <v>1572</v>
      </c>
      <c r="AG173" s="7" t="s">
        <v>48</v>
      </c>
    </row>
    <row r="174" spans="4:33" x14ac:dyDescent="0.25">
      <c r="D174" s="222" t="s">
        <v>1035</v>
      </c>
      <c r="E174" s="220" t="s">
        <v>46</v>
      </c>
      <c r="F174" s="221"/>
      <c r="G174" s="221"/>
      <c r="H174" s="214" t="s">
        <v>32</v>
      </c>
      <c r="I174" s="216"/>
      <c r="J174" s="215"/>
      <c r="K174" s="216" t="s">
        <v>1133</v>
      </c>
      <c r="L174" s="216"/>
      <c r="M174" s="216"/>
      <c r="N174" s="214" t="s">
        <v>1134</v>
      </c>
      <c r="O174" s="216"/>
      <c r="P174" s="215"/>
      <c r="T174" s="3" t="s">
        <v>1561</v>
      </c>
      <c r="U174" s="3" t="s">
        <v>2007</v>
      </c>
      <c r="V174" t="s">
        <v>2008</v>
      </c>
      <c r="W174" s="25" t="s">
        <v>2009</v>
      </c>
      <c r="X174" t="s">
        <v>2010</v>
      </c>
      <c r="Y174" t="s">
        <v>2011</v>
      </c>
      <c r="Z174" s="2" t="s">
        <v>2012</v>
      </c>
      <c r="AA174" s="5" t="s">
        <v>1928</v>
      </c>
      <c r="AB174" s="21" t="s">
        <v>2013</v>
      </c>
      <c r="AC174" s="14" t="s">
        <v>2014</v>
      </c>
      <c r="AD174" s="167" t="s">
        <v>1927</v>
      </c>
      <c r="AE174" s="162" t="s">
        <v>1928</v>
      </c>
      <c r="AF174" s="165" t="s">
        <v>1929</v>
      </c>
      <c r="AG174" s="162" t="s">
        <v>1930</v>
      </c>
    </row>
    <row r="175" spans="4:33" ht="15.75" thickBot="1" x14ac:dyDescent="0.3">
      <c r="D175" s="223"/>
      <c r="E175" s="3" t="s">
        <v>1572</v>
      </c>
      <c r="F175" t="s">
        <v>1533</v>
      </c>
      <c r="G175" t="s">
        <v>48</v>
      </c>
      <c r="H175" s="3" t="s">
        <v>1572</v>
      </c>
      <c r="I175" t="s">
        <v>1533</v>
      </c>
      <c r="J175" s="6" t="s">
        <v>48</v>
      </c>
      <c r="K175" t="s">
        <v>1572</v>
      </c>
      <c r="L175" t="s">
        <v>1533</v>
      </c>
      <c r="M175" t="s">
        <v>48</v>
      </c>
      <c r="N175" s="3" t="s">
        <v>1572</v>
      </c>
      <c r="O175" t="s">
        <v>1533</v>
      </c>
      <c r="P175" s="6" t="s">
        <v>48</v>
      </c>
      <c r="T175" s="3" t="s">
        <v>1562</v>
      </c>
      <c r="U175" s="3" t="s">
        <v>2015</v>
      </c>
      <c r="V175" t="s">
        <v>2016</v>
      </c>
      <c r="W175" s="25" t="s">
        <v>2008</v>
      </c>
      <c r="X175" t="s">
        <v>2017</v>
      </c>
      <c r="Y175" t="s">
        <v>2018</v>
      </c>
      <c r="Z175" s="3" t="s">
        <v>2019</v>
      </c>
      <c r="AA175" s="6" t="s">
        <v>2020</v>
      </c>
      <c r="AB175" s="19" t="s">
        <v>2021</v>
      </c>
      <c r="AC175" t="s">
        <v>2022</v>
      </c>
      <c r="AD175" s="168" t="s">
        <v>1935</v>
      </c>
      <c r="AE175" s="163" t="s">
        <v>1936</v>
      </c>
      <c r="AF175" s="33" t="s">
        <v>1937</v>
      </c>
      <c r="AG175" s="163" t="s">
        <v>1938</v>
      </c>
    </row>
    <row r="176" spans="4:33" ht="15.75" thickBot="1" x14ac:dyDescent="0.3">
      <c r="D176" s="2" t="s">
        <v>1561</v>
      </c>
      <c r="E176" s="2" t="str">
        <f>IF(ISNUMBER(FIND("±", results!B172)), LEFT(results!B172, FIND("±", results!B172) - 1), results!B172)</f>
        <v xml:space="preserve">92.68 </v>
      </c>
      <c r="F176" s="14" t="str">
        <f>IF(ISNUMBER(FIND("±", results!C172)), LEFT(results!C172, FIND("±", results!C172) - 1), results!C172)</f>
        <v xml:space="preserve">1.94 </v>
      </c>
      <c r="G176" s="21" t="str">
        <f>IF(ISNUMBER(FIND("±", results!D172)), LEFT(results!D172, FIND("±", results!D172) - 1), results!D172)</f>
        <v xml:space="preserve">1.13 </v>
      </c>
      <c r="H176" s="2" t="str">
        <f>IF(ISNUMBER(FIND("±", results!E172)), LEFT(results!E172, FIND("±", results!E172) - 1), results!E172)</f>
        <v xml:space="preserve">103.50 </v>
      </c>
      <c r="I176" s="14" t="str">
        <f>IF(ISNUMBER(FIND("±", results!F172)), LEFT(results!F172, FIND("±", results!F172) - 1), results!F172)</f>
        <v xml:space="preserve">0.38 </v>
      </c>
      <c r="J176" s="5" t="str">
        <f>IF(ISNUMBER(FIND("±", results!G172)), LEFT(results!G172, FIND("±", results!G172) - 1), results!G172)</f>
        <v xml:space="preserve">2.34 </v>
      </c>
      <c r="K176" s="21" t="str">
        <f>IF(ISNUMBER(FIND("±", results!H172)), LEFT(results!H172, FIND("±", results!H172) - 1), results!H172)</f>
        <v xml:space="preserve">81.08 </v>
      </c>
      <c r="L176" s="14" t="str">
        <f>IF(ISNUMBER(FIND("±", results!I172)), LEFT(results!I172, FIND("±", results!I172) - 1), results!I172)</f>
        <v xml:space="preserve">0.44 </v>
      </c>
      <c r="M176" s="14" t="str">
        <f>IF(ISNUMBER(FIND("±", results!J172)), LEFT(results!J172, FIND("±", results!J172) - 1), results!J172)</f>
        <v xml:space="preserve">3.20 </v>
      </c>
      <c r="N176" s="2" t="str">
        <f>IF(ISNUMBER(FIND("±", results!K172)), LEFT(results!K172, FIND("±", results!K172) - 1), results!K172)</f>
        <v xml:space="preserve">82.46 </v>
      </c>
      <c r="O176" s="14" t="str">
        <f>IF(ISNUMBER(FIND("±", results!L172)), LEFT(results!L172, FIND("±", results!L172) - 1), results!L172)</f>
        <v xml:space="preserve">0.44 </v>
      </c>
      <c r="P176" s="5" t="str">
        <f>IF(ISNUMBER(FIND("±", results!M172)), LEFT(results!M172, FIND("±", results!M172) - 1), results!M172)</f>
        <v xml:space="preserve">3.66 </v>
      </c>
      <c r="T176" s="3" t="s">
        <v>1563</v>
      </c>
      <c r="U176" s="3" t="s">
        <v>2023</v>
      </c>
      <c r="V176" t="s">
        <v>2024</v>
      </c>
      <c r="W176" s="25" t="s">
        <v>2025</v>
      </c>
      <c r="X176" t="s">
        <v>2026</v>
      </c>
      <c r="Y176" t="s">
        <v>2027</v>
      </c>
      <c r="Z176" s="3" t="s">
        <v>2028</v>
      </c>
      <c r="AA176" s="6" t="s">
        <v>2029</v>
      </c>
      <c r="AB176" s="19" t="s">
        <v>2030</v>
      </c>
      <c r="AC176" t="s">
        <v>2031</v>
      </c>
      <c r="AD176" s="177" t="s">
        <v>1943</v>
      </c>
      <c r="AE176" s="176" t="s">
        <v>1944</v>
      </c>
      <c r="AF176" s="174" t="s">
        <v>1945</v>
      </c>
      <c r="AG176" s="176" t="s">
        <v>1946</v>
      </c>
    </row>
    <row r="177" spans="4:33" x14ac:dyDescent="0.25">
      <c r="D177" s="3" t="s">
        <v>1562</v>
      </c>
      <c r="E177" s="3" t="str">
        <f>IF(ISNUMBER(FIND("±", results!B173)), LEFT(results!B173, FIND("±", results!B173) - 1), results!B173)</f>
        <v xml:space="preserve">106.52 </v>
      </c>
      <c r="F177" t="str">
        <f>IF(ISNUMBER(FIND("±", results!C173)), LEFT(results!C173, FIND("±", results!C173) - 1), results!C173)</f>
        <v xml:space="preserve">3.26 </v>
      </c>
      <c r="G177" s="19" t="str">
        <f>IF(ISNUMBER(FIND("±", results!D173)), LEFT(results!D173, FIND("±", results!D173) - 1), results!D173)</f>
        <v xml:space="preserve">2.51 </v>
      </c>
      <c r="H177" s="3" t="str">
        <f>IF(ISNUMBER(FIND("±", results!E173)), LEFT(results!E173, FIND("±", results!E173) - 1), results!E173)</f>
        <v xml:space="preserve">112.54 </v>
      </c>
      <c r="I177" t="str">
        <f>IF(ISNUMBER(FIND("±", results!F173)), LEFT(results!F173, FIND("±", results!F173) - 1), results!F173)</f>
        <v xml:space="preserve">0.58 </v>
      </c>
      <c r="J177" s="6" t="str">
        <f>IF(ISNUMBER(FIND("±", results!G173)), LEFT(results!G173, FIND("±", results!G173) - 1), results!G173)</f>
        <v xml:space="preserve">4.32 </v>
      </c>
      <c r="K177" s="19" t="str">
        <f>IF(ISNUMBER(FIND("±", results!H173)), LEFT(results!H173, FIND("±", results!H173) - 1), results!H173)</f>
        <v xml:space="preserve">104.40 </v>
      </c>
      <c r="L177" t="str">
        <f>IF(ISNUMBER(FIND("±", results!I173)), LEFT(results!I173, FIND("±", results!I173) - 1), results!I173)</f>
        <v xml:space="preserve">0.80 </v>
      </c>
      <c r="M177" t="str">
        <f>IF(ISNUMBER(FIND("±", results!J173)), LEFT(results!J173, FIND("±", results!J173) - 1), results!J173)</f>
        <v xml:space="preserve">6.92 </v>
      </c>
      <c r="N177" s="3" t="str">
        <f>IF(ISNUMBER(FIND("±", results!K173)), LEFT(results!K173, FIND("±", results!K173) - 1), results!K173)</f>
        <v xml:space="preserve">106.02 </v>
      </c>
      <c r="O177" t="str">
        <f>IF(ISNUMBER(FIND("±", results!L173)), LEFT(results!L173, FIND("±", results!L173) - 1), results!L173)</f>
        <v xml:space="preserve">0.84 </v>
      </c>
      <c r="P177" s="6" t="str">
        <f>IF(ISNUMBER(FIND("±", results!M173)), LEFT(results!M173, FIND("±", results!M173) - 1), results!M173)</f>
        <v xml:space="preserve">7.45 </v>
      </c>
      <c r="T177" s="2" t="s">
        <v>1564</v>
      </c>
      <c r="U177" s="2" t="s">
        <v>2032</v>
      </c>
      <c r="V177" s="14" t="s">
        <v>2033</v>
      </c>
      <c r="W177" s="5" t="s">
        <v>2034</v>
      </c>
      <c r="X177" s="14" t="s">
        <v>2035</v>
      </c>
      <c r="Y177" s="14" t="s">
        <v>2036</v>
      </c>
      <c r="Z177" s="2" t="s">
        <v>2037</v>
      </c>
      <c r="AA177" s="5" t="s">
        <v>2038</v>
      </c>
      <c r="AB177" s="14" t="s">
        <v>2039</v>
      </c>
      <c r="AC177" s="5" t="s">
        <v>2040</v>
      </c>
      <c r="AD177" s="168" t="s">
        <v>1951</v>
      </c>
      <c r="AE177" s="163" t="s">
        <v>1952</v>
      </c>
      <c r="AF177" s="32" t="s">
        <v>1953</v>
      </c>
      <c r="AG177" s="166" t="s">
        <v>1954</v>
      </c>
    </row>
    <row r="178" spans="4:33" ht="15.75" thickBot="1" x14ac:dyDescent="0.3">
      <c r="D178" s="4" t="s">
        <v>1563</v>
      </c>
      <c r="E178" s="3" t="str">
        <f>IF(ISNUMBER(FIND("±", results!B174)), LEFT(results!B174, FIND("±", results!B174) - 1), results!B174)</f>
        <v xml:space="preserve">170.84 </v>
      </c>
      <c r="F178" t="str">
        <f>IF(ISNUMBER(FIND("±", results!C174)), LEFT(results!C174, FIND("±", results!C174) - 1), results!C174)</f>
        <v xml:space="preserve">2.88 </v>
      </c>
      <c r="G178" s="19" t="str">
        <f>IF(ISNUMBER(FIND("±", results!D174)), LEFT(results!D174, FIND("±", results!D174) - 1), results!D174)</f>
        <v xml:space="preserve">4.08 </v>
      </c>
      <c r="H178" s="3" t="str">
        <f>IF(ISNUMBER(FIND("±", results!E174)), LEFT(results!E174, FIND("±", results!E174) - 1), results!E174)</f>
        <v xml:space="preserve">184.68 </v>
      </c>
      <c r="I178" t="str">
        <f>IF(ISNUMBER(FIND("±", results!F174)), LEFT(results!F174, FIND("±", results!F174) - 1), results!F174)</f>
        <v xml:space="preserve">0.62 </v>
      </c>
      <c r="J178" s="6" t="str">
        <f>IF(ISNUMBER(FIND("±", results!G174)), LEFT(results!G174, FIND("±", results!G174) - 1), results!G174)</f>
        <v xml:space="preserve">7.14 </v>
      </c>
      <c r="K178" t="str">
        <f>IF(ISNUMBER(FIND("±", results!H174)), LEFT(results!H174, FIND("±", results!H174) - 1), results!H174)</f>
        <v xml:space="preserve">152.74 </v>
      </c>
      <c r="L178" t="str">
        <f>IF(ISNUMBER(FIND("±", results!I174)), LEFT(results!I174, FIND("±", results!I174) - 1), results!I174)</f>
        <v xml:space="preserve">0.72 </v>
      </c>
      <c r="M178" t="str">
        <f>IF(ISNUMBER(FIND("±", results!J174)), LEFT(results!J174, FIND("±", results!J174) - 1), results!J174)</f>
        <v xml:space="preserve">10.83 </v>
      </c>
      <c r="N178" s="18" t="str">
        <f>IF(ISNUMBER(FIND("±", results!K174)), LEFT(results!K174, FIND("±", results!K174) - 1), results!K174)</f>
        <v xml:space="preserve">151.24 </v>
      </c>
      <c r="O178" t="str">
        <f>IF(ISNUMBER(FIND("±", results!L174)), LEFT(results!L174, FIND("±", results!L174) - 1), results!L174)</f>
        <v xml:space="preserve">0.88 </v>
      </c>
      <c r="P178" s="6" t="str">
        <f>IF(ISNUMBER(FIND("±", results!M174)), LEFT(results!M174, FIND("±", results!M174) - 1), results!M174)</f>
        <v xml:space="preserve">11.20 </v>
      </c>
      <c r="T178" s="3" t="s">
        <v>1565</v>
      </c>
      <c r="U178" s="18" t="s">
        <v>2041</v>
      </c>
      <c r="V178" t="s">
        <v>2042</v>
      </c>
      <c r="W178" s="6" t="s">
        <v>2043</v>
      </c>
      <c r="X178" t="s">
        <v>2044</v>
      </c>
      <c r="Y178" t="s">
        <v>2045</v>
      </c>
      <c r="Z178" s="3" t="s">
        <v>2046</v>
      </c>
      <c r="AA178" s="6" t="s">
        <v>2047</v>
      </c>
      <c r="AB178" t="s">
        <v>2048</v>
      </c>
      <c r="AC178" s="6" t="s">
        <v>2049</v>
      </c>
      <c r="AD178" s="168" t="s">
        <v>1959</v>
      </c>
      <c r="AE178" s="166" t="s">
        <v>1960</v>
      </c>
      <c r="AF178" s="33" t="s">
        <v>1961</v>
      </c>
      <c r="AG178" s="163" t="s">
        <v>1962</v>
      </c>
    </row>
    <row r="179" spans="4:33" ht="15.75" thickBot="1" x14ac:dyDescent="0.3">
      <c r="D179" s="3" t="s">
        <v>1564</v>
      </c>
      <c r="E179" s="2" t="str">
        <f>IF(ISNUMBER(FIND("±", results!B175)), LEFT(results!B175, FIND("±", results!B175) - 1), results!B175)</f>
        <v xml:space="preserve">762.20 </v>
      </c>
      <c r="F179" s="14" t="str">
        <f>IF(ISNUMBER(FIND("±", results!C175)), LEFT(results!C175, FIND("±", results!C175) - 1), results!C175)</f>
        <v xml:space="preserve">3.96 </v>
      </c>
      <c r="G179" s="14" t="str">
        <f>IF(ISNUMBER(FIND("±", results!D175)), LEFT(results!D175, FIND("±", results!D175) - 1), results!D175)</f>
        <v xml:space="preserve">58.55 </v>
      </c>
      <c r="H179" s="26" t="str">
        <f>IF(ISNUMBER(FIND("±", results!E175)), LEFT(results!E175, FIND("±", results!E175) - 1), results!E175)</f>
        <v xml:space="preserve">719.54 </v>
      </c>
      <c r="I179" s="14" t="str">
        <f>IF(ISNUMBER(FIND("±", results!F175)), LEFT(results!F175, FIND("±", results!F175) - 1), results!F175)</f>
        <v xml:space="preserve">0.96 </v>
      </c>
      <c r="J179" s="27" t="str">
        <f>IF(ISNUMBER(FIND("±", results!G175)), LEFT(results!G175, FIND("±", results!G175) - 1), results!G175)</f>
        <v xml:space="preserve">54.93 </v>
      </c>
      <c r="K179" s="14" t="str">
        <f>IF(ISNUMBER(FIND("±", results!H175)), LEFT(results!H175, FIND("±", results!H175) - 1), results!H175)</f>
        <v xml:space="preserve">727.20 </v>
      </c>
      <c r="L179" s="14" t="str">
        <f>IF(ISNUMBER(FIND("±", results!I175)), LEFT(results!I175, FIND("±", results!I175) - 1), results!I175)</f>
        <v xml:space="preserve">0.94 </v>
      </c>
      <c r="M179" s="14" t="str">
        <f>IF(ISNUMBER(FIND("±", results!J175)), LEFT(results!J175, FIND("±", results!J175) - 1), results!J175)</f>
        <v xml:space="preserve">56.68 </v>
      </c>
      <c r="N179" s="2" t="str">
        <f>IF(ISNUMBER(FIND("±", results!K175)), LEFT(results!K175, FIND("±", results!K175) - 1), results!K175)</f>
        <v xml:space="preserve">742.62 </v>
      </c>
      <c r="O179" s="14" t="str">
        <f>IF(ISNUMBER(FIND("±", results!L175)), LEFT(results!L175, FIND("±", results!L175) - 1), results!L175)</f>
        <v xml:space="preserve">0.90 </v>
      </c>
      <c r="P179" s="5" t="str">
        <f>IF(ISNUMBER(FIND("±", results!M175)), LEFT(results!M175, FIND("±", results!M175) - 1), results!M175)</f>
        <v xml:space="preserve">58.91 </v>
      </c>
      <c r="T179" s="4" t="s">
        <v>1566</v>
      </c>
      <c r="U179" s="4" t="s">
        <v>2197</v>
      </c>
      <c r="V179" s="15" t="s">
        <v>2198</v>
      </c>
      <c r="W179" s="7" t="s">
        <v>2199</v>
      </c>
      <c r="X179" s="15" t="s">
        <v>2203</v>
      </c>
      <c r="Y179" s="15" t="s">
        <v>2205</v>
      </c>
      <c r="Z179" s="18" t="s">
        <v>2207</v>
      </c>
      <c r="AA179" s="6" t="s">
        <v>2209</v>
      </c>
      <c r="AB179" t="s">
        <v>2211</v>
      </c>
      <c r="AC179" s="25" t="s">
        <v>2213</v>
      </c>
      <c r="AD179" s="168" t="s">
        <v>2215</v>
      </c>
      <c r="AE179" s="163" t="s">
        <v>2216</v>
      </c>
      <c r="AF179" s="33" t="s">
        <v>2217</v>
      </c>
      <c r="AG179" s="163" t="s">
        <v>2218</v>
      </c>
    </row>
    <row r="180" spans="4:33" ht="15.75" thickBot="1" x14ac:dyDescent="0.3">
      <c r="D180" s="3" t="s">
        <v>1565</v>
      </c>
      <c r="E180" s="18" t="str">
        <f>IF(ISNUMBER(FIND("±", results!B176)), LEFT(results!B176, FIND("±", results!B176) - 1), results!B176)</f>
        <v xml:space="preserve">460.94 </v>
      </c>
      <c r="F180" t="str">
        <f>IF(ISNUMBER(FIND("±", results!C176)), LEFT(results!C176, FIND("±", results!C176) - 1), results!C176)</f>
        <v xml:space="preserve">78.65 </v>
      </c>
      <c r="G180" s="19" t="str">
        <f>IF(ISNUMBER(FIND("±", results!D176)), LEFT(results!D176, FIND("±", results!D176) - 1), results!D176)</f>
        <v xml:space="preserve">78.65 </v>
      </c>
      <c r="H180" s="3" t="str">
        <f>IF(ISNUMBER(FIND("±", results!E176)), LEFT(results!E176, FIND("±", results!E176) - 1), results!E176)</f>
        <v xml:space="preserve">528.54 </v>
      </c>
      <c r="I180" t="str">
        <f>IF(ISNUMBER(FIND("±", results!F176)), LEFT(results!F176, FIND("±", results!F176) - 1), results!F176)</f>
        <v xml:space="preserve">95.52 </v>
      </c>
      <c r="J180" s="6" t="str">
        <f>IF(ISNUMBER(FIND("±", results!G176)), LEFT(results!G176, FIND("±", results!G176) - 1), results!G176)</f>
        <v xml:space="preserve">95.52 </v>
      </c>
      <c r="K180" t="str">
        <f>IF(ISNUMBER(FIND("±", results!H176)), LEFT(results!H176, FIND("±", results!H176) - 1), results!H176)</f>
        <v xml:space="preserve">537.98 </v>
      </c>
      <c r="L180" t="str">
        <f>IF(ISNUMBER(FIND("±", results!I176)), LEFT(results!I176, FIND("±", results!I176) - 1), results!I176)</f>
        <v xml:space="preserve">98.56 </v>
      </c>
      <c r="M180" t="str">
        <f>IF(ISNUMBER(FIND("±", results!J176)), LEFT(results!J176, FIND("±", results!J176) - 1), results!J176)</f>
        <v xml:space="preserve">98.56 </v>
      </c>
      <c r="N180" s="3" t="str">
        <f>IF(ISNUMBER(FIND("±", results!K176)), LEFT(results!K176, FIND("±", results!K176) - 1), results!K176)</f>
        <v xml:space="preserve">518.22 </v>
      </c>
      <c r="O180" t="str">
        <f>IF(ISNUMBER(FIND("±", results!L176)), LEFT(results!L176, FIND("±", results!L176) - 1), results!L176)</f>
        <v xml:space="preserve">95.24 </v>
      </c>
      <c r="P180" s="6" t="str">
        <f>IF(ISNUMBER(FIND("±", results!M176)), LEFT(results!M176, FIND("±", results!M176) - 1), results!M176)</f>
        <v xml:space="preserve">95.24 </v>
      </c>
      <c r="T180" s="3" t="s">
        <v>1567</v>
      </c>
      <c r="U180" s="3" t="s">
        <v>2050</v>
      </c>
      <c r="V180" t="s">
        <v>2051</v>
      </c>
      <c r="W180" s="6" t="s">
        <v>2052</v>
      </c>
      <c r="X180" t="s">
        <v>2053</v>
      </c>
      <c r="Y180" t="s">
        <v>2054</v>
      </c>
      <c r="Z180" s="8" t="s">
        <v>2055</v>
      </c>
      <c r="AA180" s="13" t="s">
        <v>2056</v>
      </c>
      <c r="AB180" s="22" t="s">
        <v>2057</v>
      </c>
      <c r="AC180" s="22" t="s">
        <v>2058</v>
      </c>
      <c r="AD180" s="172" t="s">
        <v>1967</v>
      </c>
      <c r="AE180" s="164" t="s">
        <v>1968</v>
      </c>
      <c r="AF180" s="213" t="s">
        <v>1969</v>
      </c>
      <c r="AG180" s="164" t="s">
        <v>1970</v>
      </c>
    </row>
    <row r="181" spans="4:33" ht="15.75" thickBot="1" x14ac:dyDescent="0.3">
      <c r="D181" s="3" t="s">
        <v>1566</v>
      </c>
      <c r="E181" s="4" t="str">
        <f>IF(ISNUMBER(FIND("±", results!B177)), LEFT(results!B177, FIND("±", results!B177) - 1), results!B177)</f>
        <v xml:space="preserve">857.82 </v>
      </c>
      <c r="F181" s="15" t="str">
        <f>IF(ISNUMBER(FIND("±", results!C177)), LEFT(results!C177, FIND("±", results!C177) - 1), results!C177)</f>
        <v xml:space="preserve">2.72 </v>
      </c>
      <c r="G181" s="15" t="str">
        <f>IF(ISNUMBER(FIND("±", results!D177)), LEFT(results!D177, FIND("±", results!D177) - 1), results!D177)</f>
        <v xml:space="preserve">159.97 </v>
      </c>
      <c r="H181" s="30" t="str">
        <f>IF(ISNUMBER(FIND("±", results!E177)), LEFT(results!E177, FIND("±", results!E177) - 1), results!E177)</f>
        <v xml:space="preserve">830.14 </v>
      </c>
      <c r="I181" s="15" t="str">
        <f>IF(ISNUMBER(FIND("±", results!F177)), LEFT(results!F177, FIND("±", results!F177) - 1), results!F177)</f>
        <v xml:space="preserve">0.90 </v>
      </c>
      <c r="J181" s="7" t="str">
        <f>IF(ISNUMBER(FIND("±", results!G177)), LEFT(results!G177, FIND("±", results!G177) - 1), results!G177)</f>
        <v xml:space="preserve">149.89 </v>
      </c>
      <c r="K181" s="15" t="str">
        <f>IF(ISNUMBER(FIND("±", results!H177)), LEFT(results!H177, FIND("±", results!H177) - 1), results!H177)</f>
        <v xml:space="preserve">888.06 </v>
      </c>
      <c r="L181" s="15" t="str">
        <f>IF(ISNUMBER(FIND("±", results!I177)), LEFT(results!I177, FIND("±", results!I177) - 1), results!I177)</f>
        <v xml:space="preserve">0.78 </v>
      </c>
      <c r="M181" s="15" t="str">
        <f>IF(ISNUMBER(FIND("±", results!J177)), LEFT(results!J177, FIND("±", results!J177) - 1), results!J177)</f>
        <v xml:space="preserve">161.58 </v>
      </c>
      <c r="N181" s="4" t="str">
        <f>IF(ISNUMBER(FIND("±", results!K177)), LEFT(results!K177, FIND("±", results!K177) - 1), results!K177)</f>
        <v xml:space="preserve">841.50 </v>
      </c>
      <c r="O181" s="15" t="str">
        <f>IF(ISNUMBER(FIND("±", results!L177)), LEFT(results!L177, FIND("±", results!L177) - 1), results!L177)</f>
        <v xml:space="preserve">0.80 </v>
      </c>
      <c r="P181" s="31" t="str">
        <f>IF(ISNUMBER(FIND("±", results!M177)), LEFT(results!M177, FIND("±", results!M177) - 1), results!M177)</f>
        <v xml:space="preserve">149.78 </v>
      </c>
      <c r="T181" s="8" t="s">
        <v>1568</v>
      </c>
      <c r="U181" s="8" t="s">
        <v>2059</v>
      </c>
      <c r="V181" s="1" t="s">
        <v>2060</v>
      </c>
      <c r="W181" s="13" t="s">
        <v>2061</v>
      </c>
      <c r="X181" s="1" t="s">
        <v>2062</v>
      </c>
      <c r="Y181" s="1" t="s">
        <v>2063</v>
      </c>
      <c r="Z181" s="18" t="s">
        <v>2064</v>
      </c>
      <c r="AA181" s="6" t="s">
        <v>2065</v>
      </c>
      <c r="AB181" s="19" t="s">
        <v>2064</v>
      </c>
      <c r="AC181" t="s">
        <v>2065</v>
      </c>
      <c r="AD181" s="168" t="s">
        <v>1975</v>
      </c>
      <c r="AE181" s="163" t="s">
        <v>1976</v>
      </c>
      <c r="AF181" s="33" t="s">
        <v>1975</v>
      </c>
      <c r="AG181" s="163" t="s">
        <v>1977</v>
      </c>
    </row>
    <row r="182" spans="4:33" ht="15.75" thickBot="1" x14ac:dyDescent="0.3">
      <c r="D182" s="8" t="s">
        <v>1567</v>
      </c>
      <c r="E182" s="3" t="str">
        <f>IF(ISNUMBER(FIND("±", results!B178)), LEFT(results!B178, FIND("±", results!B178) - 1), results!B178)</f>
        <v xml:space="preserve">135.40 </v>
      </c>
      <c r="F182" t="str">
        <f>IF(ISNUMBER(FIND("±", results!C178)), LEFT(results!C178, FIND("±", results!C178) - 1), results!C178)</f>
        <v xml:space="preserve">77.00 </v>
      </c>
      <c r="G182" t="str">
        <f>IF(ISNUMBER(FIND("±", results!D178)), LEFT(results!D178, FIND("±", results!D178) - 1), results!D178)</f>
        <v xml:space="preserve">12.46 </v>
      </c>
      <c r="H182" s="3" t="str">
        <f>IF(ISNUMBER(FIND("±", results!E178)), LEFT(results!E178, FIND("±", results!E178) - 1), results!E178)</f>
        <v xml:space="preserve">95.34 </v>
      </c>
      <c r="I182" t="str">
        <f>IF(ISNUMBER(FIND("±", results!F178)), LEFT(results!F178, FIND("±", results!F178) - 1), results!F178)</f>
        <v xml:space="preserve">16.86 </v>
      </c>
      <c r="J182" s="6" t="str">
        <f>IF(ISNUMBER(FIND("±", results!G178)), LEFT(results!G178, FIND("±", results!G178) - 1), results!G178)</f>
        <v xml:space="preserve">9.69 </v>
      </c>
      <c r="K182" s="19" t="str">
        <f>IF(ISNUMBER(FIND("±", results!H178)), LEFT(results!H178, FIND("±", results!H178) - 1), results!H178)</f>
        <v xml:space="preserve">85.04 </v>
      </c>
      <c r="L182" t="str">
        <f>IF(ISNUMBER(FIND("±", results!I178)), LEFT(results!I178, FIND("±", results!I178) - 1), results!I178)</f>
        <v xml:space="preserve">16.34 </v>
      </c>
      <c r="M182" s="19" t="str">
        <f>IF(ISNUMBER(FIND("±", results!J178)), LEFT(results!J178, FIND("±", results!J178) - 1), results!J178)</f>
        <v xml:space="preserve">8.23 </v>
      </c>
      <c r="N182" s="3" t="str">
        <f>IF(ISNUMBER(FIND("±", results!K178)), LEFT(results!K178, FIND("±", results!K178) - 1), results!K178)</f>
        <v xml:space="preserve">86.62 </v>
      </c>
      <c r="O182" t="str">
        <f>IF(ISNUMBER(FIND("±", results!L178)), LEFT(results!L178, FIND("±", results!L178) - 1), results!L178)</f>
        <v xml:space="preserve">16.42 </v>
      </c>
      <c r="P182" s="6" t="str">
        <f>IF(ISNUMBER(FIND("±", results!M178)), LEFT(results!M178, FIND("±", results!M178) - 1), results!M178)</f>
        <v xml:space="preserve">8.70 </v>
      </c>
      <c r="T182" s="3" t="s">
        <v>1045</v>
      </c>
      <c r="U182" s="3" t="s">
        <v>2066</v>
      </c>
      <c r="V182" t="s">
        <v>2067</v>
      </c>
      <c r="W182" s="6" t="s">
        <v>2068</v>
      </c>
      <c r="X182" t="s">
        <v>2069</v>
      </c>
      <c r="Y182" t="s">
        <v>2070</v>
      </c>
      <c r="Z182" s="2" t="s">
        <v>2071</v>
      </c>
      <c r="AA182" s="21" t="s">
        <v>2072</v>
      </c>
      <c r="AB182" s="26" t="s">
        <v>2073</v>
      </c>
      <c r="AC182" s="5" t="s">
        <v>2020</v>
      </c>
      <c r="AD182" s="165" t="s">
        <v>1980</v>
      </c>
      <c r="AE182" s="162" t="s">
        <v>1981</v>
      </c>
      <c r="AF182" s="165" t="s">
        <v>1982</v>
      </c>
      <c r="AG182" s="162" t="s">
        <v>1983</v>
      </c>
    </row>
    <row r="183" spans="4:33" ht="15.75" thickBot="1" x14ac:dyDescent="0.3">
      <c r="D183" s="3" t="s">
        <v>1568</v>
      </c>
      <c r="E183" s="8" t="str">
        <f>IF(ISNUMBER(FIND("±", results!B179)), LEFT(results!B179, FIND("±", results!B179) - 1), results!B179)</f>
        <v xml:space="preserve">29.48 </v>
      </c>
      <c r="F183" s="1" t="str">
        <f>IF(ISNUMBER(FIND("±", results!C179)), LEFT(results!C179, FIND("±", results!C179) - 1), results!C179)</f>
        <v xml:space="preserve">12.98 </v>
      </c>
      <c r="G183" s="1" t="str">
        <f>IF(ISNUMBER(FIND("±", results!D179)), LEFT(results!D179, FIND("±", results!D179) - 1), results!D179)</f>
        <v xml:space="preserve">0.69 </v>
      </c>
      <c r="H183" s="28" t="str">
        <f>IF(ISNUMBER(FIND("±", results!E179)), LEFT(results!E179, FIND("±", results!E179) - 1), results!E179)</f>
        <v xml:space="preserve">14.46 </v>
      </c>
      <c r="I183" s="1" t="str">
        <f>IF(ISNUMBER(FIND("±", results!F179)), LEFT(results!F179, FIND("±", results!F179) - 1), results!F179)</f>
        <v xml:space="preserve">2.90 </v>
      </c>
      <c r="J183" s="29" t="str">
        <f>IF(ISNUMBER(FIND("±", results!G179)), LEFT(results!G179, FIND("±", results!G179) - 1), results!G179)</f>
        <v xml:space="preserve">0.35 </v>
      </c>
      <c r="K183" s="22" t="str">
        <f>IF(ISNUMBER(FIND("±", results!H179)), LEFT(results!H179, FIND("±", results!H179) - 1), results!H179)</f>
        <v xml:space="preserve">14.46 </v>
      </c>
      <c r="L183" s="1" t="str">
        <f>IF(ISNUMBER(FIND("±", results!I179)), LEFT(results!I179, FIND("±", results!I179) - 1), results!I179)</f>
        <v xml:space="preserve">2.90 </v>
      </c>
      <c r="M183" s="1" t="str">
        <f>IF(ISNUMBER(FIND("±", results!J179)), LEFT(results!J179, FIND("±", results!J179) - 1), results!J179)</f>
        <v xml:space="preserve">0.36 </v>
      </c>
      <c r="N183" s="28" t="str">
        <f>IF(ISNUMBER(FIND("±", results!K179)), LEFT(results!K179, FIND("±", results!K179) - 1), results!K179)</f>
        <v xml:space="preserve">14.46 </v>
      </c>
      <c r="O183" s="1" t="str">
        <f>IF(ISNUMBER(FIND("±", results!L179)), LEFT(results!L179, FIND("±", results!L179) - 1), results!L179)</f>
        <v xml:space="preserve">2.90 </v>
      </c>
      <c r="P183" s="29" t="str">
        <f>IF(ISNUMBER(FIND("±", results!M179)), LEFT(results!M179, FIND("±", results!M179) - 1), results!M179)</f>
        <v xml:space="preserve">0.35 </v>
      </c>
      <c r="T183" s="3" t="s">
        <v>1569</v>
      </c>
      <c r="U183" s="3" t="s">
        <v>2200</v>
      </c>
      <c r="V183" t="s">
        <v>2201</v>
      </c>
      <c r="W183" s="6" t="s">
        <v>2202</v>
      </c>
      <c r="X183" s="168" t="s">
        <v>2204</v>
      </c>
      <c r="Y183" s="33" t="s">
        <v>2206</v>
      </c>
      <c r="Z183" s="4" t="s">
        <v>2208</v>
      </c>
      <c r="AA183" s="15" t="s">
        <v>2210</v>
      </c>
      <c r="AB183" s="30" t="s">
        <v>2212</v>
      </c>
      <c r="AC183" s="31" t="s">
        <v>2214</v>
      </c>
      <c r="AD183" s="174" t="s">
        <v>1988</v>
      </c>
      <c r="AE183" s="176" t="s">
        <v>1989</v>
      </c>
      <c r="AF183" s="174" t="s">
        <v>1990</v>
      </c>
      <c r="AG183" s="176" t="s">
        <v>1991</v>
      </c>
    </row>
    <row r="184" spans="4:33" x14ac:dyDescent="0.25">
      <c r="D184" s="2" t="s">
        <v>1045</v>
      </c>
      <c r="E184" s="3" t="str">
        <f>IF(ISNUMBER(FIND("±", results!B180)), LEFT(results!B180, FIND("±", results!B180) - 1), results!B180)</f>
        <v xml:space="preserve">167.58 </v>
      </c>
      <c r="F184" t="str">
        <f>IF(ISNUMBER(FIND("±", results!C180)), LEFT(results!C180, FIND("±", results!C180) - 1), results!C180)</f>
        <v xml:space="preserve">135.58 </v>
      </c>
      <c r="G184" t="str">
        <f>IF(ISNUMBER(FIND("±", results!D180)), LEFT(results!D180, FIND("±", results!D180) - 1), results!D180)</f>
        <v xml:space="preserve">4.31 </v>
      </c>
      <c r="H184" s="3" t="str">
        <f>IF(ISNUMBER(FIND("±", results!E180)), LEFT(results!E180, FIND("±", results!E180) - 1), results!E180)</f>
        <v xml:space="preserve">118.16 </v>
      </c>
      <c r="I184" t="str">
        <f>IF(ISNUMBER(FIND("±", results!F180)), LEFT(results!F180, FIND("±", results!F180) - 1), results!F180)</f>
        <v xml:space="preserve">30.62 </v>
      </c>
      <c r="J184" s="25" t="str">
        <f>IF(ISNUMBER(FIND("±", results!G180)), LEFT(results!G180, FIND("±", results!G180) - 1), results!G180)</f>
        <v xml:space="preserve">3.03 </v>
      </c>
      <c r="K184" t="str">
        <f>IF(ISNUMBER(FIND("±", results!H180)), LEFT(results!H180, FIND("±", results!H180) - 1), results!H180)</f>
        <v xml:space="preserve">101.86 </v>
      </c>
      <c r="L184" t="str">
        <f>IF(ISNUMBER(FIND("±", results!I180)), LEFT(results!I180, FIND("±", results!I180) - 1), results!I180)</f>
        <v xml:space="preserve">31.30 </v>
      </c>
      <c r="M184" t="str">
        <f>IF(ISNUMBER(FIND("±", results!J180)), LEFT(results!J180, FIND("±", results!J180) - 1), results!J180)</f>
        <v xml:space="preserve">3.55 </v>
      </c>
      <c r="N184" s="18" t="str">
        <f>IF(ISNUMBER(FIND("±", results!K180)), LEFT(results!K180, FIND("±", results!K180) - 1), results!K180)</f>
        <v xml:space="preserve">98.48 </v>
      </c>
      <c r="O184" t="str">
        <f>IF(ISNUMBER(FIND("±", results!L180)), LEFT(results!L180, FIND("±", results!L180) - 1), results!L180)</f>
        <v xml:space="preserve">31.62 </v>
      </c>
      <c r="P184" s="6" t="str">
        <f>IF(ISNUMBER(FIND("±", results!M180)), LEFT(results!M180, FIND("±", results!M180) - 1), results!M180)</f>
        <v xml:space="preserve">3.48 </v>
      </c>
      <c r="T184" s="2" t="s">
        <v>1570</v>
      </c>
      <c r="U184" s="2" t="s">
        <v>2074</v>
      </c>
      <c r="V184" s="14" t="s">
        <v>2075</v>
      </c>
      <c r="W184" s="5" t="s">
        <v>2076</v>
      </c>
      <c r="X184" s="14" t="s">
        <v>2077</v>
      </c>
      <c r="Y184" s="14" t="s">
        <v>2078</v>
      </c>
      <c r="Z184" s="18" t="s">
        <v>2079</v>
      </c>
      <c r="AA184" s="25" t="s">
        <v>2080</v>
      </c>
      <c r="AB184" s="19" t="s">
        <v>2079</v>
      </c>
      <c r="AC184" t="s">
        <v>2081</v>
      </c>
      <c r="AD184" s="168" t="s">
        <v>1996</v>
      </c>
      <c r="AE184" s="163" t="s">
        <v>1997</v>
      </c>
      <c r="AF184" s="33" t="s">
        <v>1998</v>
      </c>
      <c r="AG184" s="163" t="s">
        <v>1999</v>
      </c>
    </row>
    <row r="185" spans="4:33" ht="15.75" thickBot="1" x14ac:dyDescent="0.3">
      <c r="D185" s="4" t="s">
        <v>1569</v>
      </c>
      <c r="E185" s="3" t="str">
        <f>IF(ISNUMBER(FIND("±", results!B181)), LEFT(results!B181, FIND("±", results!B181) - 1), results!B181)</f>
        <v xml:space="preserve">700.68 </v>
      </c>
      <c r="F185" t="str">
        <f>IF(ISNUMBER(FIND("±", results!C181)), LEFT(results!C181, FIND("±", results!C181) - 1), results!C181)</f>
        <v xml:space="preserve">626.56 </v>
      </c>
      <c r="G185" t="str">
        <f>IF(ISNUMBER(FIND("±", results!D181)), LEFT(results!D181, FIND("±", results!D181) - 1), results!D181)</f>
        <v xml:space="preserve">171.02 </v>
      </c>
      <c r="H185" s="3" t="str">
        <f>IF(ISNUMBER(FIND("±", results!E181)), LEFT(results!E181, FIND("±", results!E181) - 1), results!E181)</f>
        <v xml:space="preserve">442.78 </v>
      </c>
      <c r="I185" t="str">
        <f>IF(ISNUMBER(FIND("±", results!F181)), LEFT(results!F181, FIND("±", results!F181) - 1), results!F181)</f>
        <v xml:space="preserve">130.78 </v>
      </c>
      <c r="J185" s="25" t="str">
        <f>IF(ISNUMBER(FIND("±", results!G181)), LEFT(results!G181, FIND("±", results!G181) - 1), results!G181)</f>
        <v xml:space="preserve">83.93 </v>
      </c>
      <c r="K185" s="19" t="str">
        <f>IF(ISNUMBER(FIND("±", results!H181)), LEFT(results!H181, FIND("±", results!H181) - 1), results!H181)</f>
        <v xml:space="preserve">355.60 </v>
      </c>
      <c r="L185" t="str">
        <f>IF(ISNUMBER(FIND("±", results!I181)), LEFT(results!I181, FIND("±", results!I181) - 1), results!I181)</f>
        <v xml:space="preserve">125.32 </v>
      </c>
      <c r="M185" t="str">
        <f>IF(ISNUMBER(FIND("±", results!J181)), LEFT(results!J181, FIND("±", results!J181) - 1), results!J181)</f>
        <v xml:space="preserve">88.42 </v>
      </c>
      <c r="N185" s="3" t="str">
        <f>IF(ISNUMBER(FIND("±", results!K181)), LEFT(results!K181, FIND("±", results!K181) - 1), results!K181)</f>
        <v xml:space="preserve">359.78 </v>
      </c>
      <c r="O185" t="str">
        <f>IF(ISNUMBER(FIND("±", results!L181)), LEFT(results!L181, FIND("±", results!L181) - 1), results!L181)</f>
        <v xml:space="preserve">126.12 </v>
      </c>
      <c r="P185" s="6" t="str">
        <f>IF(ISNUMBER(FIND("±", results!M181)), LEFT(results!M181, FIND("±", results!M181) - 1), results!M181)</f>
        <v xml:space="preserve">89.14 </v>
      </c>
      <c r="T185" s="4" t="s">
        <v>1571</v>
      </c>
      <c r="U185" s="4" t="s">
        <v>2082</v>
      </c>
      <c r="V185" s="15" t="s">
        <v>2083</v>
      </c>
      <c r="W185" s="7" t="s">
        <v>2084</v>
      </c>
      <c r="X185" s="15" t="s">
        <v>2085</v>
      </c>
      <c r="Y185" s="15" t="s">
        <v>2086</v>
      </c>
      <c r="Z185" s="30" t="s">
        <v>2087</v>
      </c>
      <c r="AA185" s="31" t="s">
        <v>2088</v>
      </c>
      <c r="AB185" s="23" t="s">
        <v>2087</v>
      </c>
      <c r="AC185" s="15" t="s">
        <v>2089</v>
      </c>
      <c r="AD185" s="177" t="s">
        <v>2002</v>
      </c>
      <c r="AE185" s="176" t="s">
        <v>2003</v>
      </c>
      <c r="AF185" s="174" t="s">
        <v>2004</v>
      </c>
      <c r="AG185" s="176" t="s">
        <v>2005</v>
      </c>
    </row>
    <row r="186" spans="4:33" x14ac:dyDescent="0.25">
      <c r="D186" s="3" t="s">
        <v>1570</v>
      </c>
      <c r="E186" s="2" t="str">
        <f>IF(ISNUMBER(FIND("±", results!B182)), LEFT(results!B182, FIND("±", results!B182) - 1), results!B182)</f>
        <v xml:space="preserve">93.64 </v>
      </c>
      <c r="F186" s="14" t="str">
        <f>IF(ISNUMBER(FIND("±", results!C182)), LEFT(results!C182, FIND("±", results!C182) - 1), results!C182)</f>
        <v xml:space="preserve">38.04 </v>
      </c>
      <c r="G186" s="14" t="str">
        <f>IF(ISNUMBER(FIND("±", results!D182)), LEFT(results!D182, FIND("±", results!D182) - 1), results!D182)</f>
        <v xml:space="preserve">3.84 </v>
      </c>
      <c r="H186" s="2" t="str">
        <f>IF(ISNUMBER(FIND("±", results!E182)), LEFT(results!E182, FIND("±", results!E182) - 1), results!E182)</f>
        <v xml:space="preserve">90.50 </v>
      </c>
      <c r="I186" s="14" t="str">
        <f>IF(ISNUMBER(FIND("±", results!F182)), LEFT(results!F182, FIND("±", results!F182) - 1), results!F182)</f>
        <v xml:space="preserve">15.52 </v>
      </c>
      <c r="J186" s="27" t="str">
        <f>IF(ISNUMBER(FIND("±", results!G182)), LEFT(results!G182, FIND("±", results!G182) - 1), results!G182)</f>
        <v xml:space="preserve">2.32 </v>
      </c>
      <c r="K186" s="21" t="str">
        <f>IF(ISNUMBER(FIND("±", results!H182)), LEFT(results!H182, FIND("±", results!H182) - 1), results!H182)</f>
        <v xml:space="preserve">90.48 </v>
      </c>
      <c r="L186" s="14" t="str">
        <f>IF(ISNUMBER(FIND("±", results!I182)), LEFT(results!I182, FIND("±", results!I182) - 1), results!I182)</f>
        <v xml:space="preserve">15.52 </v>
      </c>
      <c r="M186" s="14" t="str">
        <f>IF(ISNUMBER(FIND("±", results!J182)), LEFT(results!J182, FIND("±", results!J182) - 1), results!J182)</f>
        <v xml:space="preserve">2.43 </v>
      </c>
      <c r="N186" s="2" t="str">
        <f>IF(ISNUMBER(FIND("±", results!K182)), LEFT(results!K182, FIND("±", results!K182) - 1), results!K182)</f>
        <v xml:space="preserve">90.52 </v>
      </c>
      <c r="O186" s="14" t="str">
        <f>IF(ISNUMBER(FIND("±", results!L182)), LEFT(results!L182, FIND("±", results!L182) - 1), results!L182)</f>
        <v xml:space="preserve">15.52 </v>
      </c>
      <c r="P186" s="5" t="str">
        <f>IF(ISNUMBER(FIND("±", results!M182)), LEFT(results!M182, FIND("±", results!M182) - 1), results!M182)</f>
        <v xml:space="preserve">2.46 </v>
      </c>
    </row>
    <row r="187" spans="4:33" ht="15.75" thickBot="1" x14ac:dyDescent="0.3">
      <c r="D187" s="4" t="s">
        <v>1571</v>
      </c>
      <c r="E187" s="30" t="str">
        <f>IF(ISNUMBER(FIND("±", results!B183)), LEFT(results!B183, FIND("±", results!B183) - 1), results!B183)</f>
        <v xml:space="preserve">159.68 </v>
      </c>
      <c r="F187" s="15" t="str">
        <f>IF(ISNUMBER(FIND("±", results!C183)), LEFT(results!C183, FIND("±", results!C183) - 1), results!C183)</f>
        <v xml:space="preserve">68.62 </v>
      </c>
      <c r="G187" s="15" t="str">
        <f>IF(ISNUMBER(FIND("±", results!D183)), LEFT(results!D183, FIND("±", results!D183) - 1), results!D183)</f>
        <v xml:space="preserve">27.02 </v>
      </c>
      <c r="H187" s="4" t="str">
        <f>IF(ISNUMBER(FIND("±", results!E183)), LEFT(results!E183, FIND("±", results!E183) - 1), results!E183)</f>
        <v xml:space="preserve">217.60 </v>
      </c>
      <c r="I187" s="15" t="str">
        <f>IF(ISNUMBER(FIND("±", results!F183)), LEFT(results!F183, FIND("±", results!F183) - 1), results!F183)</f>
        <v xml:space="preserve">35.78 </v>
      </c>
      <c r="J187" s="31" t="str">
        <f>IF(ISNUMBER(FIND("±", results!G183)), LEFT(results!G183, FIND("±", results!G183) - 1), results!G183)</f>
        <v xml:space="preserve">24.86 </v>
      </c>
      <c r="K187" s="15" t="str">
        <f>IF(ISNUMBER(FIND("±", results!H183)), LEFT(results!H183, FIND("±", results!H183) - 1), results!H183)</f>
        <v xml:space="preserve">209.52 </v>
      </c>
      <c r="L187" s="15" t="str">
        <f>IF(ISNUMBER(FIND("±", results!I183)), LEFT(results!I183, FIND("±", results!I183) - 1), results!I183)</f>
        <v xml:space="preserve">35.78 </v>
      </c>
      <c r="M187" s="15" t="str">
        <f>IF(ISNUMBER(FIND("±", results!J183)), LEFT(results!J183, FIND("±", results!J183) - 1), results!J183)</f>
        <v xml:space="preserve">31.07 </v>
      </c>
      <c r="N187" s="4" t="str">
        <f>IF(ISNUMBER(FIND("±", results!K183)), LEFT(results!K183, FIND("±", results!K183) - 1), results!K183)</f>
        <v xml:space="preserve">209.38 </v>
      </c>
      <c r="O187" s="15" t="str">
        <f>IF(ISNUMBER(FIND("±", results!L183)), LEFT(results!L183, FIND("±", results!L183) - 1), results!L183)</f>
        <v xml:space="preserve">35.76 </v>
      </c>
      <c r="P187" s="7" t="str">
        <f>IF(ISNUMBER(FIND("±", results!M183)), LEFT(results!M183, FIND("±", results!M183) - 1), results!M183)</f>
        <v xml:space="preserve">32.61 </v>
      </c>
    </row>
    <row r="190" spans="4:33" ht="15.75" thickBot="1" x14ac:dyDescent="0.3"/>
    <row r="191" spans="4:33" ht="15.75" thickBot="1" x14ac:dyDescent="0.3">
      <c r="D191" s="217" t="s">
        <v>2230</v>
      </c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9"/>
    </row>
    <row r="192" spans="4:33" x14ac:dyDescent="0.25">
      <c r="D192" s="222" t="s">
        <v>1035</v>
      </c>
      <c r="E192" s="220" t="s">
        <v>46</v>
      </c>
      <c r="F192" s="221"/>
      <c r="G192" s="221"/>
      <c r="H192" s="214" t="s">
        <v>32</v>
      </c>
      <c r="I192" s="216"/>
      <c r="J192" s="215"/>
      <c r="K192" s="216" t="s">
        <v>1133</v>
      </c>
      <c r="L192" s="216"/>
      <c r="M192" s="216"/>
      <c r="N192" s="214" t="s">
        <v>1134</v>
      </c>
      <c r="O192" s="216"/>
      <c r="P192" s="215"/>
    </row>
    <row r="193" spans="4:16" ht="15.75" thickBot="1" x14ac:dyDescent="0.3">
      <c r="D193" s="223"/>
      <c r="E193" s="3" t="s">
        <v>1572</v>
      </c>
      <c r="F193" t="s">
        <v>1533</v>
      </c>
      <c r="G193" t="s">
        <v>48</v>
      </c>
      <c r="H193" s="3" t="s">
        <v>1572</v>
      </c>
      <c r="I193" t="s">
        <v>1533</v>
      </c>
      <c r="J193" s="6" t="s">
        <v>48</v>
      </c>
      <c r="K193" t="s">
        <v>1572</v>
      </c>
      <c r="L193" t="s">
        <v>1533</v>
      </c>
      <c r="M193" t="s">
        <v>48</v>
      </c>
      <c r="N193" s="3" t="s">
        <v>1572</v>
      </c>
      <c r="O193" t="s">
        <v>1533</v>
      </c>
      <c r="P193" s="6" t="s">
        <v>48</v>
      </c>
    </row>
    <row r="194" spans="4:16" x14ac:dyDescent="0.25">
      <c r="D194" s="2" t="s">
        <v>1561</v>
      </c>
      <c r="E194" s="26" t="str">
        <f>IF(ISNUMBER(FIND("±", results!B190)), LEFT(results!B190, FIND("±", results!B190) - 1), results!B190)</f>
        <v xml:space="preserve">91.32 </v>
      </c>
      <c r="F194" s="14" t="str">
        <f>IF(ISNUMBER(FIND("±", results!C190)), LEFT(results!C190, FIND("±", results!C190) - 1), results!C190)</f>
        <v xml:space="preserve">2.02 </v>
      </c>
      <c r="G194" s="21" t="str">
        <f>IF(ISNUMBER(FIND("±", results!D190)), LEFT(results!D190, FIND("±", results!D190) - 1), results!D190)</f>
        <v xml:space="preserve">0.96 </v>
      </c>
      <c r="H194" s="2" t="str">
        <f>IF(ISNUMBER(FIND("±", results!E190)), LEFT(results!E190, FIND("±", results!E190) - 1), results!E190)</f>
        <v xml:space="preserve">118.18 </v>
      </c>
      <c r="I194" s="14" t="str">
        <f>IF(ISNUMBER(FIND("±", results!F190)), LEFT(results!F190, FIND("±", results!F190) - 1), results!F190)</f>
        <v xml:space="preserve">1.66 </v>
      </c>
      <c r="J194" s="5" t="str">
        <f>IF(ISNUMBER(FIND("±", results!G190)), LEFT(results!G190, FIND("±", results!G190) - 1), results!G190)</f>
        <v xml:space="preserve">3.02 </v>
      </c>
      <c r="K194" s="14" t="str">
        <f>IF(ISNUMBER(FIND("±", results!H190)), LEFT(results!H190, FIND("±", results!H190) - 1), results!H190)</f>
        <v xml:space="preserve">93.58 </v>
      </c>
      <c r="L194" s="14" t="str">
        <f>IF(ISNUMBER(FIND("±", results!I190)), LEFT(results!I190, FIND("±", results!I190) - 1), results!I190)</f>
        <v xml:space="preserve">1.62 </v>
      </c>
      <c r="M194" s="14" t="str">
        <f>IF(ISNUMBER(FIND("±", results!J190)), LEFT(results!J190, FIND("±", results!J190) - 1), results!J190)</f>
        <v xml:space="preserve">4.93 </v>
      </c>
      <c r="N194" s="2" t="str">
        <f>IF(ISNUMBER(FIND("±", results!K190)), LEFT(results!K190, FIND("±", results!K190) - 1), results!K190)</f>
        <v xml:space="preserve">99.16 </v>
      </c>
      <c r="O194" s="14" t="str">
        <f>IF(ISNUMBER(FIND("±", results!L190)), LEFT(results!L190, FIND("±", results!L190) - 1), results!L190)</f>
        <v xml:space="preserve">1.78 </v>
      </c>
      <c r="P194" s="5" t="str">
        <f>IF(ISNUMBER(FIND("±", results!M190)), LEFT(results!M190, FIND("±", results!M190) - 1), results!M190)</f>
        <v xml:space="preserve">5.62 </v>
      </c>
    </row>
    <row r="195" spans="4:16" x14ac:dyDescent="0.25">
      <c r="D195" s="3" t="s">
        <v>1562</v>
      </c>
      <c r="E195" s="18" t="str">
        <f>IF(ISNUMBER(FIND("±", results!B191)), LEFT(results!B191, FIND("±", results!B191) - 1), results!B191)</f>
        <v xml:space="preserve">105.58 </v>
      </c>
      <c r="F195" t="str">
        <f>IF(ISNUMBER(FIND("±", results!C191)), LEFT(results!C191, FIND("±", results!C191) - 1), results!C191)</f>
        <v xml:space="preserve">3.06 </v>
      </c>
      <c r="G195" s="19" t="str">
        <f>IF(ISNUMBER(FIND("±", results!D191)), LEFT(results!D191, FIND("±", results!D191) - 1), results!D191)</f>
        <v xml:space="preserve">1.69 </v>
      </c>
      <c r="H195" s="3" t="str">
        <f>IF(ISNUMBER(FIND("±", results!E191)), LEFT(results!E191, FIND("±", results!E191) - 1), results!E191)</f>
        <v xml:space="preserve">135.80 </v>
      </c>
      <c r="I195" t="str">
        <f>IF(ISNUMBER(FIND("±", results!F191)), LEFT(results!F191, FIND("±", results!F191) - 1), results!F191)</f>
        <v xml:space="preserve">2.26 </v>
      </c>
      <c r="J195" s="6" t="str">
        <f>IF(ISNUMBER(FIND("±", results!G191)), LEFT(results!G191, FIND("±", results!G191) - 1), results!G191)</f>
        <v xml:space="preserve">5.27 </v>
      </c>
      <c r="K195" t="str">
        <f>IF(ISNUMBER(FIND("±", results!H191)), LEFT(results!H191, FIND("±", results!H191) - 1), results!H191)</f>
        <v xml:space="preserve">122.98 </v>
      </c>
      <c r="L195" t="str">
        <f>IF(ISNUMBER(FIND("±", results!I191)), LEFT(results!I191, FIND("±", results!I191) - 1), results!I191)</f>
        <v xml:space="preserve">3.14 </v>
      </c>
      <c r="M195" t="str">
        <f>IF(ISNUMBER(FIND("±", results!J191)), LEFT(results!J191, FIND("±", results!J191) - 1), results!J191)</f>
        <v xml:space="preserve">9.82 </v>
      </c>
      <c r="N195" s="3" t="str">
        <f>IF(ISNUMBER(FIND("±", results!K191)), LEFT(results!K191, FIND("±", results!K191) - 1), results!K191)</f>
        <v xml:space="preserve">119.70 </v>
      </c>
      <c r="O195" t="str">
        <f>IF(ISNUMBER(FIND("±", results!L191)), LEFT(results!L191, FIND("±", results!L191) - 1), results!L191)</f>
        <v xml:space="preserve">3.00 </v>
      </c>
      <c r="P195" s="6" t="str">
        <f>IF(ISNUMBER(FIND("±", results!M191)), LEFT(results!M191, FIND("±", results!M191) - 1), results!M191)</f>
        <v xml:space="preserve">10.13 </v>
      </c>
    </row>
    <row r="196" spans="4:16" ht="15.75" thickBot="1" x14ac:dyDescent="0.3">
      <c r="D196" s="4" t="s">
        <v>1563</v>
      </c>
      <c r="E196" s="18" t="str">
        <f>IF(ISNUMBER(FIND("±", results!B192)), LEFT(results!B192, FIND("±", results!B192) - 1), results!B192)</f>
        <v xml:space="preserve">169.28 </v>
      </c>
      <c r="F196" t="str">
        <f>IF(ISNUMBER(FIND("±", results!C192)), LEFT(results!C192, FIND("±", results!C192) - 1), results!C192)</f>
        <v xml:space="preserve">3.18 </v>
      </c>
      <c r="G196" s="19" t="str">
        <f>IF(ISNUMBER(FIND("±", results!D192)), LEFT(results!D192, FIND("±", results!D192) - 1), results!D192)</f>
        <v xml:space="preserve">4.52 </v>
      </c>
      <c r="H196" s="3" t="str">
        <f>IF(ISNUMBER(FIND("±", results!E192)), LEFT(results!E192, FIND("±", results!E192) - 1), results!E192)</f>
        <v xml:space="preserve">235.44 </v>
      </c>
      <c r="I196" t="str">
        <f>IF(ISNUMBER(FIND("±", results!F192)), LEFT(results!F192, FIND("±", results!F192) - 1), results!F192)</f>
        <v xml:space="preserve">2.32 </v>
      </c>
      <c r="J196" s="6" t="str">
        <f>IF(ISNUMBER(FIND("±", results!G192)), LEFT(results!G192, FIND("±", results!G192) - 1), results!G192)</f>
        <v xml:space="preserve">15.08 </v>
      </c>
      <c r="K196" t="str">
        <f>IF(ISNUMBER(FIND("±", results!H192)), LEFT(results!H192, FIND("±", results!H192) - 1), results!H192)</f>
        <v xml:space="preserve">173.70 </v>
      </c>
      <c r="L196" t="str">
        <f>IF(ISNUMBER(FIND("±", results!I192)), LEFT(results!I192, FIND("±", results!I192) - 1), results!I192)</f>
        <v xml:space="preserve">2.92 </v>
      </c>
      <c r="M196" t="str">
        <f>IF(ISNUMBER(FIND("±", results!J192)), LEFT(results!J192, FIND("±", results!J192) - 1), results!J192)</f>
        <v xml:space="preserve">26.37 </v>
      </c>
      <c r="N196" s="3" t="str">
        <f>IF(ISNUMBER(FIND("±", results!K192)), LEFT(results!K192, FIND("±", results!K192) - 1), results!K192)</f>
        <v xml:space="preserve">175.88 </v>
      </c>
      <c r="O196" t="str">
        <f>IF(ISNUMBER(FIND("±", results!L192)), LEFT(results!L192, FIND("±", results!L192) - 1), results!L192)</f>
        <v xml:space="preserve">3.02 </v>
      </c>
      <c r="P196" s="6" t="str">
        <f>IF(ISNUMBER(FIND("±", results!M192)), LEFT(results!M192, FIND("±", results!M192) - 1), results!M192)</f>
        <v xml:space="preserve">24.99 </v>
      </c>
    </row>
    <row r="197" spans="4:16" x14ac:dyDescent="0.25">
      <c r="D197" s="3" t="s">
        <v>1564</v>
      </c>
      <c r="E197" s="26" t="str">
        <f>IF(ISNUMBER(FIND("±", results!B193)), LEFT(results!B193, FIND("±", results!B193) - 1), results!B193)</f>
        <v xml:space="preserve">716.08 </v>
      </c>
      <c r="F197" s="14" t="str">
        <f>IF(ISNUMBER(FIND("±", results!C193)), LEFT(results!C193, FIND("±", results!C193) - 1), results!C193)</f>
        <v xml:space="preserve">4.16 </v>
      </c>
      <c r="G197" s="21" t="str">
        <f>IF(ISNUMBER(FIND("±", results!D193)), LEFT(results!D193, FIND("±", results!D193) - 1), results!D193)</f>
        <v xml:space="preserve">43.17 </v>
      </c>
      <c r="H197" s="2" t="str">
        <f>IF(ISNUMBER(FIND("±", results!E193)), LEFT(results!E193, FIND("±", results!E193) - 1), results!E193)</f>
        <v xml:space="preserve">833.08 </v>
      </c>
      <c r="I197" s="14" t="str">
        <f>IF(ISNUMBER(FIND("±", results!F193)), LEFT(results!F193, FIND("±", results!F193) - 1), results!F193)</f>
        <v xml:space="preserve">4.64 </v>
      </c>
      <c r="J197" s="5" t="str">
        <f>IF(ISNUMBER(FIND("±", results!G193)), LEFT(results!G193, FIND("±", results!G193) - 1), results!G193)</f>
        <v xml:space="preserve">81.12 </v>
      </c>
      <c r="K197" s="14" t="str">
        <f>IF(ISNUMBER(FIND("±", results!H193)), LEFT(results!H193, FIND("±", results!H193) - 1), results!H193)</f>
        <v xml:space="preserve">811.54 </v>
      </c>
      <c r="L197" s="14" t="str">
        <f>IF(ISNUMBER(FIND("±", results!I193)), LEFT(results!I193, FIND("±", results!I193) - 1), results!I193)</f>
        <v xml:space="preserve">4.60 </v>
      </c>
      <c r="M197" s="14" t="str">
        <f>IF(ISNUMBER(FIND("±", results!J193)), LEFT(results!J193, FIND("±", results!J193) - 1), results!J193)</f>
        <v xml:space="preserve">55.18 </v>
      </c>
      <c r="N197" s="2" t="str">
        <f>IF(ISNUMBER(FIND("±", results!K193)), LEFT(results!K193, FIND("±", results!K193) - 1), results!K193)</f>
        <v xml:space="preserve">799.14 </v>
      </c>
      <c r="O197" s="14" t="str">
        <f>IF(ISNUMBER(FIND("±", results!L193)), LEFT(results!L193, FIND("±", results!L193) - 1), results!L193)</f>
        <v xml:space="preserve">4.54 </v>
      </c>
      <c r="P197" s="5" t="str">
        <f>IF(ISNUMBER(FIND("±", results!M193)), LEFT(results!M193, FIND("±", results!M193) - 1), results!M193)</f>
        <v xml:space="preserve">53.37 </v>
      </c>
    </row>
    <row r="198" spans="4:16" x14ac:dyDescent="0.25">
      <c r="D198" s="3" t="s">
        <v>1565</v>
      </c>
      <c r="E198" s="3" t="str">
        <f>IF(ISNUMBER(FIND("±", results!B194)), LEFT(results!B194, FIND("±", results!B194) - 1), results!B194)</f>
        <v xml:space="preserve">491.58 </v>
      </c>
      <c r="F198" t="str">
        <f>IF(ISNUMBER(FIND("±", results!C194)), LEFT(results!C194, FIND("±", results!C194) - 1), results!C194)</f>
        <v xml:space="preserve">1.58 </v>
      </c>
      <c r="G198" t="str">
        <f>IF(ISNUMBER(FIND("±", results!D194)), LEFT(results!D194, FIND("±", results!D194) - 1), results!D194)</f>
        <v xml:space="preserve">70.61 </v>
      </c>
      <c r="H198" s="3" t="str">
        <f>IF(ISNUMBER(FIND("±", results!E194)), LEFT(results!E194, FIND("±", results!E194) - 1), results!E194)</f>
        <v xml:space="preserve">476.58 </v>
      </c>
      <c r="I198" t="str">
        <f>IF(ISNUMBER(FIND("±", results!F194)), LEFT(results!F194, FIND("±", results!F194) - 1), results!F194)</f>
        <v xml:space="preserve">1.72 </v>
      </c>
      <c r="J198" s="6" t="str">
        <f>IF(ISNUMBER(FIND("±", results!G194)), LEFT(results!G194, FIND("±", results!G194) - 1), results!G194)</f>
        <v xml:space="preserve">69.58 </v>
      </c>
      <c r="K198" s="19" t="str">
        <f>IF(ISNUMBER(FIND("±", results!H194)), LEFT(results!H194, FIND("±", results!H194) - 1), results!H194)</f>
        <v xml:space="preserve">474.48 </v>
      </c>
      <c r="L198" t="str">
        <f>IF(ISNUMBER(FIND("±", results!I194)), LEFT(results!I194, FIND("±", results!I194) - 1), results!I194)</f>
        <v xml:space="preserve">1.70 </v>
      </c>
      <c r="M198" t="str">
        <f>IF(ISNUMBER(FIND("±", results!J194)), LEFT(results!J194, FIND("±", results!J194) - 1), results!J194)</f>
        <v xml:space="preserve">67.19 </v>
      </c>
      <c r="N198" s="3" t="str">
        <f>IF(ISNUMBER(FIND("±", results!K194)), LEFT(results!K194, FIND("±", results!K194) - 1), results!K194)</f>
        <v xml:space="preserve">476.78 </v>
      </c>
      <c r="O198" t="str">
        <f>IF(ISNUMBER(FIND("±", results!L194)), LEFT(results!L194, FIND("±", results!L194) - 1), results!L194)</f>
        <v xml:space="preserve">1.68 </v>
      </c>
      <c r="P198" s="25" t="str">
        <f>IF(ISNUMBER(FIND("±", results!M194)), LEFT(results!M194, FIND("±", results!M194) - 1), results!M194)</f>
        <v xml:space="preserve">63.85 </v>
      </c>
    </row>
    <row r="199" spans="4:16" ht="15.75" thickBot="1" x14ac:dyDescent="0.3">
      <c r="D199" s="3" t="s">
        <v>1566</v>
      </c>
      <c r="E199" s="4" t="str">
        <f>IF(ISNUMBER(FIND("±", results!B195)), LEFT(results!B195, FIND("±", results!B195) - 1), results!B195)</f>
        <v xml:space="preserve">891.14 </v>
      </c>
      <c r="F199" s="15" t="str">
        <f>IF(ISNUMBER(FIND("±", results!C195)), LEFT(results!C195, FIND("±", results!C195) - 1), results!C195)</f>
        <v xml:space="preserve">2.54 </v>
      </c>
      <c r="G199" s="15" t="str">
        <f>IF(ISNUMBER(FIND("±", results!D195)), LEFT(results!D195, FIND("±", results!D195) - 1), results!D195)</f>
        <v xml:space="preserve">145.46 </v>
      </c>
      <c r="H199" s="4" t="str">
        <f>IF(ISNUMBER(FIND("±", results!E195)), LEFT(results!E195, FIND("±", results!E195) - 1), results!E195)</f>
        <v xml:space="preserve">856.80 </v>
      </c>
      <c r="I199" s="15" t="str">
        <f>IF(ISNUMBER(FIND("±", results!F195)), LEFT(results!F195, FIND("±", results!F195) - 1), results!F195)</f>
        <v xml:space="preserve">3.06 </v>
      </c>
      <c r="J199" s="7" t="str">
        <f>IF(ISNUMBER(FIND("±", results!G195)), LEFT(results!G195, FIND("±", results!G195) - 1), results!G195)</f>
        <v xml:space="preserve">127.47 </v>
      </c>
      <c r="K199" s="23" t="str">
        <f>IF(ISNUMBER(FIND("±", results!H195)), LEFT(results!H195, FIND("±", results!H195) - 1), results!H195)</f>
        <v xml:space="preserve">822.46 </v>
      </c>
      <c r="L199" s="15" t="str">
        <f>IF(ISNUMBER(FIND("±", results!I195)), LEFT(results!I195, FIND("±", results!I195) - 1), results!I195)</f>
        <v xml:space="preserve">3.06 </v>
      </c>
      <c r="M199" s="23" t="str">
        <f>IF(ISNUMBER(FIND("±", results!J195)), LEFT(results!J195, FIND("±", results!J195) - 1), results!J195)</f>
        <v xml:space="preserve">121.18 </v>
      </c>
      <c r="N199" s="4" t="str">
        <f>IF(ISNUMBER(FIND("±", results!K195)), LEFT(results!K195, FIND("±", results!K195) - 1), results!K195)</f>
        <v xml:space="preserve">884.78 </v>
      </c>
      <c r="O199" s="15" t="str">
        <f>IF(ISNUMBER(FIND("±", results!L195)), LEFT(results!L195, FIND("±", results!L195) - 1), results!L195)</f>
        <v xml:space="preserve">3.04 </v>
      </c>
      <c r="P199" s="7" t="str">
        <f>IF(ISNUMBER(FIND("±", results!M195)), LEFT(results!M195, FIND("±", results!M195) - 1), results!M195)</f>
        <v xml:space="preserve">131.10 </v>
      </c>
    </row>
    <row r="200" spans="4:16" ht="15.75" thickBot="1" x14ac:dyDescent="0.3">
      <c r="D200" s="8" t="s">
        <v>1567</v>
      </c>
      <c r="E200" s="3" t="str">
        <f>IF(ISNUMBER(FIND("±", results!B196)), LEFT(results!B196, FIND("±", results!B196) - 1), results!B196)</f>
        <v xml:space="preserve">135.34 </v>
      </c>
      <c r="F200" t="str">
        <f>IF(ISNUMBER(FIND("±", results!C196)), LEFT(results!C196, FIND("±", results!C196) - 1), results!C196)</f>
        <v xml:space="preserve">76.76 </v>
      </c>
      <c r="G200" s="19" t="str">
        <f>IF(ISNUMBER(FIND("±", results!D196)), LEFT(results!D196, FIND("±", results!D196) - 1), results!D196)</f>
        <v xml:space="preserve">9.78 </v>
      </c>
      <c r="H200" s="3" t="str">
        <f>IF(ISNUMBER(FIND("±", results!E196)), LEFT(results!E196, FIND("±", results!E196) - 1), results!E196)</f>
        <v xml:space="preserve">141.00 </v>
      </c>
      <c r="I200" t="str">
        <f>IF(ISNUMBER(FIND("±", results!F196)), LEFT(results!F196, FIND("±", results!F196) - 1), results!F196)</f>
        <v xml:space="preserve">60.48 </v>
      </c>
      <c r="J200" s="6" t="str">
        <f>IF(ISNUMBER(FIND("±", results!G196)), LEFT(results!G196, FIND("±", results!G196) - 1), results!G196)</f>
        <v xml:space="preserve">14.01 </v>
      </c>
      <c r="K200" s="19" t="str">
        <f>IF(ISNUMBER(FIND("±", results!H196)), LEFT(results!H196, FIND("±", results!H196) - 1), results!H196)</f>
        <v xml:space="preserve">137.08 </v>
      </c>
      <c r="L200" t="str">
        <f>IF(ISNUMBER(FIND("±", results!I196)), LEFT(results!I196, FIND("±", results!I196) - 1), results!I196)</f>
        <v xml:space="preserve">59.46 </v>
      </c>
      <c r="M200" t="str">
        <f>IF(ISNUMBER(FIND("±", results!J196)), LEFT(results!J196, FIND("±", results!J196) - 1), results!J196)</f>
        <v xml:space="preserve">13.24 </v>
      </c>
      <c r="N200" s="3" t="str">
        <f>IF(ISNUMBER(FIND("±", results!K196)), LEFT(results!K196, FIND("±", results!K196) - 1), results!K196)</f>
        <v xml:space="preserve">133.10 </v>
      </c>
      <c r="O200" t="str">
        <f>IF(ISNUMBER(FIND("±", results!L196)), LEFT(results!L196, FIND("±", results!L196) - 1), results!L196)</f>
        <v xml:space="preserve">57.64 </v>
      </c>
      <c r="P200" s="6" t="str">
        <f>IF(ISNUMBER(FIND("±", results!M196)), LEFT(results!M196, FIND("±", results!M196) - 1), results!M196)</f>
        <v xml:space="preserve">12.94 </v>
      </c>
    </row>
    <row r="201" spans="4:16" ht="15.75" thickBot="1" x14ac:dyDescent="0.3">
      <c r="D201" s="3" t="s">
        <v>1568</v>
      </c>
      <c r="E201" s="28" t="str">
        <f>IF(ISNUMBER(FIND("±", results!B197)), LEFT(results!B197, FIND("±", results!B197) - 1), results!B197)</f>
        <v xml:space="preserve">28.28 </v>
      </c>
      <c r="F201" s="1" t="str">
        <f>IF(ISNUMBER(FIND("±", results!C197)), LEFT(results!C197, FIND("±", results!C197) - 1), results!C197)</f>
        <v xml:space="preserve">12.32 </v>
      </c>
      <c r="G201" s="22" t="str">
        <f>IF(ISNUMBER(FIND("±", results!D197)), LEFT(results!D197, FIND("±", results!D197) - 1), results!D197)</f>
        <v xml:space="preserve">0.38 </v>
      </c>
      <c r="H201" s="8" t="str">
        <f>IF(ISNUMBER(FIND("±", results!E197)), LEFT(results!E197, FIND("±", results!E197) - 1), results!E197)</f>
        <v xml:space="preserve">28.51 </v>
      </c>
      <c r="I201" s="1" t="str">
        <f>IF(ISNUMBER(FIND("±", results!F197)), LEFT(results!F197, FIND("±", results!F197) - 1), results!F197)</f>
        <v xml:space="preserve">11.53 </v>
      </c>
      <c r="J201" s="13" t="str">
        <f>IF(ISNUMBER(FIND("±", results!G197)), LEFT(results!G197, FIND("±", results!G197) - 1), results!G197)</f>
        <v xml:space="preserve">0.42 </v>
      </c>
      <c r="K201" s="1" t="str">
        <f>IF(ISNUMBER(FIND("±", results!H197)), LEFT(results!H197, FIND("±", results!H197) - 1), results!H197)</f>
        <v xml:space="preserve">28.36 </v>
      </c>
      <c r="L201" s="1" t="str">
        <f>IF(ISNUMBER(FIND("±", results!I197)), LEFT(results!I197, FIND("±", results!I197) - 1), results!I197)</f>
        <v xml:space="preserve">11.53 </v>
      </c>
      <c r="M201" s="1" t="str">
        <f>IF(ISNUMBER(FIND("±", results!J197)), LEFT(results!J197, FIND("±", results!J197) - 1), results!J197)</f>
        <v xml:space="preserve">0.46 </v>
      </c>
      <c r="N201" s="8" t="str">
        <f>IF(ISNUMBER(FIND("±", results!K197)), LEFT(results!K197, FIND("±", results!K197) - 1), results!K197)</f>
        <v xml:space="preserve">28.38 </v>
      </c>
      <c r="O201" s="1" t="str">
        <f>IF(ISNUMBER(FIND("±", results!L197)), LEFT(results!L197, FIND("±", results!L197) - 1), results!L197)</f>
        <v xml:space="preserve">11.53 </v>
      </c>
      <c r="P201" s="13" t="str">
        <f>IF(ISNUMBER(FIND("±", results!M197)), LEFT(results!M197, FIND("±", results!M197) - 1), results!M197)</f>
        <v xml:space="preserve">0.50 </v>
      </c>
    </row>
    <row r="202" spans="4:16" x14ac:dyDescent="0.25">
      <c r="D202" s="2" t="s">
        <v>1045</v>
      </c>
      <c r="E202" s="18" t="str">
        <f>IF(ISNUMBER(FIND("±", results!B198)), LEFT(results!B198, FIND("±", results!B198) - 1), results!B198)</f>
        <v xml:space="preserve">174.92 </v>
      </c>
      <c r="F202" t="str">
        <f>IF(ISNUMBER(FIND("±", results!C198)), LEFT(results!C198, FIND("±", results!C198) - 1), results!C198)</f>
        <v xml:space="preserve">140.80 </v>
      </c>
      <c r="G202" s="19" t="str">
        <f>IF(ISNUMBER(FIND("±", results!D198)), LEFT(results!D198, FIND("±", results!D198) - 1), results!D198)</f>
        <v xml:space="preserve">3.22 </v>
      </c>
      <c r="H202" s="3" t="str">
        <f>IF(ISNUMBER(FIND("±", results!E198)), LEFT(results!E198, FIND("±", results!E198) - 1), results!E198)</f>
        <v xml:space="preserve">195.24 </v>
      </c>
      <c r="I202" t="str">
        <f>IF(ISNUMBER(FIND("±", results!F198)), LEFT(results!F198, FIND("±", results!F198) - 1), results!F198)</f>
        <v xml:space="preserve">112.71 </v>
      </c>
      <c r="J202" s="6" t="str">
        <f>IF(ISNUMBER(FIND("±", results!G198)), LEFT(results!G198, FIND("±", results!G198) - 1), results!G198)</f>
        <v xml:space="preserve">3.76 </v>
      </c>
      <c r="K202" t="str">
        <f>IF(ISNUMBER(FIND("±", results!H198)), LEFT(results!H198, FIND("±", results!H198) - 1), results!H198)</f>
        <v xml:space="preserve">186.37 </v>
      </c>
      <c r="L202" t="str">
        <f>IF(ISNUMBER(FIND("±", results!I198)), LEFT(results!I198, FIND("±", results!I198) - 1), results!I198)</f>
        <v xml:space="preserve">107.24 </v>
      </c>
      <c r="M202" t="str">
        <f>IF(ISNUMBER(FIND("±", results!J198)), LEFT(results!J198, FIND("±", results!J198) - 1), results!J198)</f>
        <v xml:space="preserve">4.41 </v>
      </c>
      <c r="N202" s="3" t="str">
        <f>IF(ISNUMBER(FIND("±", results!K198)), LEFT(results!K198, FIND("±", results!K198) - 1), results!K198)</f>
        <v xml:space="preserve">179.98 </v>
      </c>
      <c r="O202" t="str">
        <f>IF(ISNUMBER(FIND("±", results!L198)), LEFT(results!L198, FIND("±", results!L198) - 1), results!L198)</f>
        <v xml:space="preserve">107.33 </v>
      </c>
      <c r="P202" s="6" t="str">
        <f>IF(ISNUMBER(FIND("±", results!M198)), LEFT(results!M198, FIND("±", results!M198) - 1), results!M198)</f>
        <v xml:space="preserve">4.38 </v>
      </c>
    </row>
    <row r="203" spans="4:16" ht="15.75" thickBot="1" x14ac:dyDescent="0.3">
      <c r="D203" s="4" t="s">
        <v>1569</v>
      </c>
      <c r="E203" s="18" t="str">
        <f>IF(ISNUMBER(FIND("±", results!B199)), LEFT(results!B199, FIND("±", results!B199) - 1), results!B199)</f>
        <v xml:space="preserve">698.42 </v>
      </c>
      <c r="F203" t="str">
        <f>IF(ISNUMBER(FIND("±", results!C199)), LEFT(results!C199, FIND("±", results!C199) - 1), results!C199)</f>
        <v xml:space="preserve">622.52 </v>
      </c>
      <c r="G203" t="str">
        <f>IF(ISNUMBER(FIND("±", results!D199)), LEFT(results!D199, FIND("±", results!D199) - 1), results!D199)</f>
        <v xml:space="preserve">132.63 </v>
      </c>
      <c r="H203" s="3" t="str">
        <f>IF(ISNUMBER(FIND("±", results!E199)), LEFT(results!E199, FIND("±", results!E199) - 1), results!E199)</f>
        <v xml:space="preserve">725.36 </v>
      </c>
      <c r="I203" t="str">
        <f>IF(ISNUMBER(FIND("±", results!F199)), LEFT(results!F199, FIND("±", results!F199) - 1), results!F199)</f>
        <v xml:space="preserve">460.14 </v>
      </c>
      <c r="J203" s="25" t="str">
        <f>IF(ISNUMBER(FIND("±", results!G199)), LEFT(results!G199, FIND("±", results!G199) - 1), results!G199)</f>
        <v xml:space="preserve">121.14 </v>
      </c>
      <c r="K203" t="str">
        <f>IF(ISNUMBER(FIND("±", results!H199)), LEFT(results!H199, FIND("±", results!H199) - 1), results!H199)</f>
        <v xml:space="preserve">842.78 </v>
      </c>
      <c r="L203" t="str">
        <f>IF(ISNUMBER(FIND("±", results!I199)), LEFT(results!I199, FIND("±", results!I199) - 1), results!I199)</f>
        <v xml:space="preserve">513.24 </v>
      </c>
      <c r="M203" t="str">
        <f>IF(ISNUMBER(FIND("±", results!J199)), LEFT(results!J199, FIND("±", results!J199) - 1), results!J199)</f>
        <v xml:space="preserve">178.42 </v>
      </c>
      <c r="N203" s="3" t="str">
        <f>IF(ISNUMBER(FIND("±", results!K199)), LEFT(results!K199, FIND("±", results!K199) - 1), results!K199)</f>
        <v xml:space="preserve">814.78 </v>
      </c>
      <c r="O203" t="str">
        <f>IF(ISNUMBER(FIND("±", results!L199)), LEFT(results!L199, FIND("±", results!L199) - 1), results!L199)</f>
        <v xml:space="preserve">504.34 </v>
      </c>
      <c r="P203" s="6" t="str">
        <f>IF(ISNUMBER(FIND("±", results!M199)), LEFT(results!M199, FIND("±", results!M199) - 1), results!M199)</f>
        <v xml:space="preserve">171.98 </v>
      </c>
    </row>
    <row r="204" spans="4:16" x14ac:dyDescent="0.25">
      <c r="D204" s="3" t="s">
        <v>1570</v>
      </c>
      <c r="E204" s="26" t="str">
        <f>IF(ISNUMBER(FIND("±", results!B200)), LEFT(results!B200, FIND("±", results!B200) - 1), results!B200)</f>
        <v xml:space="preserve">92.38 </v>
      </c>
      <c r="F204" s="14" t="str">
        <f>IF(ISNUMBER(FIND("±", results!C200)), LEFT(results!C200, FIND("±", results!C200) - 1), results!C200)</f>
        <v xml:space="preserve">37.10 </v>
      </c>
      <c r="G204" s="21" t="str">
        <f>IF(ISNUMBER(FIND("±", results!D200)), LEFT(results!D200, FIND("±", results!D200) - 1), results!D200)</f>
        <v xml:space="preserve">4.77 </v>
      </c>
      <c r="H204" s="2" t="str">
        <f>IF(ISNUMBER(FIND("±", results!E200)), LEFT(results!E200, FIND("±", results!E200) - 1), results!E200)</f>
        <v xml:space="preserve">191.66 </v>
      </c>
      <c r="I204" s="14" t="str">
        <f>IF(ISNUMBER(FIND("±", results!F200)), LEFT(results!F200, FIND("±", results!F200) - 1), results!F200)</f>
        <v xml:space="preserve">58.06 </v>
      </c>
      <c r="J204" s="5" t="str">
        <f>IF(ISNUMBER(FIND("±", results!G200)), LEFT(results!G200, FIND("±", results!G200) - 1), results!G200)</f>
        <v xml:space="preserve">9.30 </v>
      </c>
      <c r="K204" s="14" t="str">
        <f>IF(ISNUMBER(FIND("±", results!H200)), LEFT(results!H200, FIND("±", results!H200) - 1), results!H200)</f>
        <v xml:space="preserve">191.66 </v>
      </c>
      <c r="L204" s="14" t="str">
        <f>IF(ISNUMBER(FIND("±", results!I200)), LEFT(results!I200, FIND("±", results!I200) - 1), results!I200)</f>
        <v xml:space="preserve">58.06 </v>
      </c>
      <c r="M204" s="14" t="str">
        <f>IF(ISNUMBER(FIND("±", results!J200)), LEFT(results!J200, FIND("±", results!J200) - 1), results!J200)</f>
        <v xml:space="preserve">10.04 </v>
      </c>
      <c r="N204" s="2" t="str">
        <f>IF(ISNUMBER(FIND("±", results!K200)), LEFT(results!K200, FIND("±", results!K200) - 1), results!K200)</f>
        <v xml:space="preserve">191.66 </v>
      </c>
      <c r="O204" s="14" t="str">
        <f>IF(ISNUMBER(FIND("±", results!L200)), LEFT(results!L200, FIND("±", results!L200) - 1), results!L200)</f>
        <v xml:space="preserve">58.06 </v>
      </c>
      <c r="P204" s="5" t="str">
        <f>IF(ISNUMBER(FIND("±", results!M200)), LEFT(results!M200, FIND("±", results!M200) - 1), results!M200)</f>
        <v xml:space="preserve">9.84 </v>
      </c>
    </row>
    <row r="205" spans="4:16" ht="15.75" thickBot="1" x14ac:dyDescent="0.3">
      <c r="D205" s="4" t="s">
        <v>1571</v>
      </c>
      <c r="E205" s="30" t="str">
        <f>IF(ISNUMBER(FIND("±", results!B201)), LEFT(results!B201, FIND("±", results!B201) - 1), results!B201)</f>
        <v xml:space="preserve">198.44 </v>
      </c>
      <c r="F205" s="15" t="str">
        <f>IF(ISNUMBER(FIND("±", results!C201)), LEFT(results!C201, FIND("±", results!C201) - 1), results!C201)</f>
        <v xml:space="preserve">85.68 </v>
      </c>
      <c r="G205" s="23" t="str">
        <f>IF(ISNUMBER(FIND("±", results!D201)), LEFT(results!D201, FIND("±", results!D201) - 1), results!D201)</f>
        <v xml:space="preserve">26.62 </v>
      </c>
      <c r="H205" s="4" t="str">
        <f>IF(ISNUMBER(FIND("±", results!E201)), LEFT(results!E201, FIND("±", results!E201) - 1), results!E201)</f>
        <v xml:space="preserve">445.96 </v>
      </c>
      <c r="I205" s="15" t="str">
        <f>IF(ISNUMBER(FIND("±", results!F201)), LEFT(results!F201, FIND("±", results!F201) - 1), results!F201)</f>
        <v xml:space="preserve">137.08 </v>
      </c>
      <c r="J205" s="7" t="str">
        <f>IF(ISNUMBER(FIND("±", results!G201)), LEFT(results!G201, FIND("±", results!G201) - 1), results!G201)</f>
        <v xml:space="preserve">57.35 </v>
      </c>
      <c r="K205" s="15" t="str">
        <f>IF(ISNUMBER(FIND("±", results!H201)), LEFT(results!H201, FIND("±", results!H201) - 1), results!H201)</f>
        <v xml:space="preserve">445.78 </v>
      </c>
      <c r="L205" s="15" t="str">
        <f>IF(ISNUMBER(FIND("±", results!I201)), LEFT(results!I201, FIND("±", results!I201) - 1), results!I201)</f>
        <v xml:space="preserve">137.08 </v>
      </c>
      <c r="M205" s="15" t="str">
        <f>IF(ISNUMBER(FIND("±", results!J201)), LEFT(results!J201, FIND("±", results!J201) - 1), results!J201)</f>
        <v xml:space="preserve">71.55 </v>
      </c>
      <c r="N205" s="4" t="str">
        <f>IF(ISNUMBER(FIND("±", results!K201)), LEFT(results!K201, FIND("±", results!K201) - 1), results!K201)</f>
        <v xml:space="preserve">445.78 </v>
      </c>
      <c r="O205" s="15" t="str">
        <f>IF(ISNUMBER(FIND("±", results!L201)), LEFT(results!L201, FIND("±", results!L201) - 1), results!L201)</f>
        <v xml:space="preserve">137.08 </v>
      </c>
      <c r="P205" s="7" t="str">
        <f>IF(ISNUMBER(FIND("±", results!M201)), LEFT(results!M201, FIND("±", results!M201) - 1), results!M201)</f>
        <v xml:space="preserve">76.47 </v>
      </c>
    </row>
    <row r="208" spans="4:16" ht="15.75" thickBot="1" x14ac:dyDescent="0.3"/>
    <row r="209" spans="4:18" ht="15.75" thickBot="1" x14ac:dyDescent="0.3">
      <c r="D209" s="217" t="s">
        <v>208</v>
      </c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9"/>
    </row>
    <row r="210" spans="4:18" x14ac:dyDescent="0.25">
      <c r="D210" s="132" t="s">
        <v>1035</v>
      </c>
      <c r="E210" s="220" t="s">
        <v>46</v>
      </c>
      <c r="F210" s="221"/>
      <c r="G210" s="221"/>
      <c r="H210" s="214" t="s">
        <v>34</v>
      </c>
      <c r="I210" s="216"/>
      <c r="J210" s="215"/>
      <c r="K210" s="216" t="s">
        <v>32</v>
      </c>
      <c r="L210" s="216"/>
      <c r="M210" s="216"/>
      <c r="N210" s="214" t="s">
        <v>41</v>
      </c>
      <c r="O210" s="216"/>
      <c r="P210" s="215"/>
      <c r="Q210" s="214" t="s">
        <v>2231</v>
      </c>
      <c r="R210" s="215"/>
    </row>
    <row r="211" spans="4:18" ht="15.75" thickBot="1" x14ac:dyDescent="0.3">
      <c r="D211" s="133"/>
      <c r="E211" s="3" t="s">
        <v>1572</v>
      </c>
      <c r="F211" t="s">
        <v>1533</v>
      </c>
      <c r="G211" t="s">
        <v>48</v>
      </c>
      <c r="H211" s="4" t="s">
        <v>1572</v>
      </c>
      <c r="I211" s="15" t="s">
        <v>1533</v>
      </c>
      <c r="J211" s="7" t="s">
        <v>48</v>
      </c>
      <c r="K211" t="s">
        <v>1572</v>
      </c>
      <c r="L211" t="s">
        <v>1533</v>
      </c>
      <c r="M211" t="s">
        <v>48</v>
      </c>
      <c r="N211" s="4" t="s">
        <v>1572</v>
      </c>
      <c r="O211" s="15" t="s">
        <v>1533</v>
      </c>
      <c r="P211" s="7" t="s">
        <v>48</v>
      </c>
      <c r="Q211" s="4" t="s">
        <v>1572</v>
      </c>
      <c r="R211" s="7" t="s">
        <v>48</v>
      </c>
    </row>
    <row r="212" spans="4:18" x14ac:dyDescent="0.25">
      <c r="D212" s="2" t="s">
        <v>1561</v>
      </c>
      <c r="E212" s="2" t="str">
        <f>IF(ISNUMBER(FIND("±", results!B208)), LEFT(results!B208, FIND("±", results!B208) - 1), results!B208)</f>
        <v xml:space="preserve">93.02 </v>
      </c>
      <c r="F212" s="14" t="str">
        <f>IF(ISNUMBER(FIND("±", results!C208)), LEFT(results!C208, FIND("±", results!C208) - 1), results!C208)</f>
        <v xml:space="preserve">2.04 </v>
      </c>
      <c r="G212" s="21" t="str">
        <f>IF(ISNUMBER(FIND("±", results!D208)), LEFT(results!D208, FIND("±", results!D208) - 1), results!D208)</f>
        <v xml:space="preserve">0.82 </v>
      </c>
      <c r="H212" s="2" t="str">
        <f>IF(ISNUMBER(FIND("±", results!E208)), LEFT(results!E208, FIND("±", results!E208) - 1), results!E208)</f>
        <v xml:space="preserve">137.42 </v>
      </c>
      <c r="I212" s="14" t="str">
        <f>IF(ISNUMBER(FIND("±", results!F208)), LEFT(results!F208, FIND("±", results!F208) - 1), results!F208)</f>
        <v xml:space="preserve">0.00 </v>
      </c>
      <c r="J212" s="5" t="str">
        <f>IF(ISNUMBER(FIND("±", results!G208)), LEFT(results!G208, FIND("±", results!G208) - 1), results!G208)</f>
        <v xml:space="preserve">2.38 </v>
      </c>
      <c r="K212" s="14" t="str">
        <f>IF(ISNUMBER(FIND("±", results!H208)), LEFT(results!H208, FIND("±", results!H208) - 1), results!H208)</f>
        <v xml:space="preserve">99.20 </v>
      </c>
      <c r="L212" s="14" t="str">
        <f>IF(ISNUMBER(FIND("±", results!I208)), LEFT(results!I208, FIND("±", results!I208) - 1), results!I208)</f>
        <v xml:space="preserve">0.38 </v>
      </c>
      <c r="M212" s="14" t="str">
        <f>IF(ISNUMBER(FIND("±", results!J208)), LEFT(results!J208, FIND("±", results!J208) - 1), results!J208)</f>
        <v xml:space="preserve">1.68 </v>
      </c>
      <c r="N212" s="26" t="str">
        <f>IF(ISNUMBER(FIND("±", results!K208)), LEFT(results!K208, FIND("±", results!K208) - 1), results!K208)</f>
        <v xml:space="preserve">84.42 </v>
      </c>
      <c r="O212" s="14" t="str">
        <f>IF(ISNUMBER(FIND("±", results!L208)), LEFT(results!L208, FIND("±", results!L208) - 1), results!L208)</f>
        <v xml:space="preserve">0.62 </v>
      </c>
      <c r="P212" s="5" t="str">
        <f>IF(ISNUMBER(FIND("±", results!M208)), LEFT(results!M208, FIND("±", results!M208) - 1), results!M208)</f>
        <v xml:space="preserve">2.61 </v>
      </c>
      <c r="Q212" s="2">
        <v>77.42</v>
      </c>
      <c r="R212" s="5">
        <v>0.67</v>
      </c>
    </row>
    <row r="213" spans="4:18" x14ac:dyDescent="0.25">
      <c r="D213" s="3" t="s">
        <v>1562</v>
      </c>
      <c r="E213" s="3" t="str">
        <f>IF(ISNUMBER(FIND("±", results!B209)), LEFT(results!B209, FIND("±", results!B209) - 1), results!B209)</f>
        <v xml:space="preserve">108.04 </v>
      </c>
      <c r="F213" t="str">
        <f>IF(ISNUMBER(FIND("±", results!C209)), LEFT(results!C209, FIND("±", results!C209) - 1), results!C209)</f>
        <v xml:space="preserve">1.44 </v>
      </c>
      <c r="G213" t="str">
        <f>IF(ISNUMBER(FIND("±", results!D209)), LEFT(results!D209, FIND("±", results!D209) - 1), results!D209)</f>
        <v xml:space="preserve">3.20 </v>
      </c>
      <c r="H213" s="3" t="str">
        <f>IF(ISNUMBER(FIND("±", results!E209)), LEFT(results!E209, FIND("±", results!E209) - 1), results!E209)</f>
        <v xml:space="preserve">149.40 </v>
      </c>
      <c r="I213" t="str">
        <f>IF(ISNUMBER(FIND("±", results!F209)), LEFT(results!F209, FIND("±", results!F209) - 1), results!F209)</f>
        <v xml:space="preserve">0.00 </v>
      </c>
      <c r="J213" s="6" t="str">
        <f>IF(ISNUMBER(FIND("±", results!G209)), LEFT(results!G209, FIND("±", results!G209) - 1), results!G209)</f>
        <v xml:space="preserve">3.96 </v>
      </c>
      <c r="K213" t="str">
        <f>IF(ISNUMBER(FIND("±", results!H209)), LEFT(results!H209, FIND("±", results!H209) - 1), results!H209)</f>
        <v xml:space="preserve">111.86 </v>
      </c>
      <c r="L213" t="str">
        <f>IF(ISNUMBER(FIND("±", results!I209)), LEFT(results!I209, FIND("±", results!I209) - 1), results!I209)</f>
        <v xml:space="preserve">0.74 </v>
      </c>
      <c r="M213" s="19" t="str">
        <f>IF(ISNUMBER(FIND("±", results!J209)), LEFT(results!J209, FIND("±", results!J209) - 1), results!J209)</f>
        <v xml:space="preserve">2.84 </v>
      </c>
      <c r="N213" s="18" t="str">
        <f>IF(ISNUMBER(FIND("±", results!K209)), LEFT(results!K209, FIND("±", results!K209) - 1), results!K209)</f>
        <v xml:space="preserve">107.18 </v>
      </c>
      <c r="O213" t="str">
        <f>IF(ISNUMBER(FIND("±", results!L209)), LEFT(results!L209, FIND("±", results!L209) - 1), results!L209)</f>
        <v xml:space="preserve">0.92 </v>
      </c>
      <c r="P213" s="6" t="str">
        <f>IF(ISNUMBER(FIND("±", results!M209)), LEFT(results!M209, FIND("±", results!M209) - 1), results!M209)</f>
        <v xml:space="preserve">4.89 </v>
      </c>
      <c r="Q213" s="3">
        <v>89.4</v>
      </c>
      <c r="R213" s="6">
        <v>1.78</v>
      </c>
    </row>
    <row r="214" spans="4:18" ht="15.75" thickBot="1" x14ac:dyDescent="0.3">
      <c r="D214" s="4" t="s">
        <v>1563</v>
      </c>
      <c r="E214" s="3" t="str">
        <f>IF(ISNUMBER(FIND("±", results!B210)), LEFT(results!B210, FIND("±", results!B210) - 1), results!B210)</f>
        <v xml:space="preserve">165.30 </v>
      </c>
      <c r="F214" t="str">
        <f>IF(ISNUMBER(FIND("±", results!C210)), LEFT(results!C210, FIND("±", results!C210) - 1), results!C210)</f>
        <v xml:space="preserve">3.10 </v>
      </c>
      <c r="G214" s="19" t="str">
        <f>IF(ISNUMBER(FIND("±", results!D210)), LEFT(results!D210, FIND("±", results!D210) - 1), results!D210)</f>
        <v xml:space="preserve">3.88 </v>
      </c>
      <c r="H214" s="3" t="str">
        <f>IF(ISNUMBER(FIND("±", results!E210)), LEFT(results!E210, FIND("±", results!E210) - 1), results!E210)</f>
        <v xml:space="preserve">245.68 </v>
      </c>
      <c r="I214" t="str">
        <f>IF(ISNUMBER(FIND("±", results!F210)), LEFT(results!F210, FIND("±", results!F210) - 1), results!F210)</f>
        <v xml:space="preserve">0.00 </v>
      </c>
      <c r="J214" s="6" t="str">
        <f>IF(ISNUMBER(FIND("±", results!G210)), LEFT(results!G210, FIND("±", results!G210) - 1), results!G210)</f>
        <v xml:space="preserve">11.10 </v>
      </c>
      <c r="K214" t="str">
        <f>IF(ISNUMBER(FIND("±", results!H210)), LEFT(results!H210, FIND("±", results!H210) - 1), results!H210)</f>
        <v xml:space="preserve">180.74 </v>
      </c>
      <c r="L214" t="str">
        <f>IF(ISNUMBER(FIND("±", results!I210)), LEFT(results!I210, FIND("±", results!I210) - 1), results!I210)</f>
        <v xml:space="preserve">0.76 </v>
      </c>
      <c r="M214" t="str">
        <f>IF(ISNUMBER(FIND("±", results!J210)), LEFT(results!J210, FIND("±", results!J210) - 1), results!J210)</f>
        <v xml:space="preserve">7.47 </v>
      </c>
      <c r="N214" s="18" t="str">
        <f>IF(ISNUMBER(FIND("±", results!K210)), LEFT(results!K210, FIND("±", results!K210) - 1), results!K210)</f>
        <v xml:space="preserve">145.76 </v>
      </c>
      <c r="O214" t="str">
        <f>IF(ISNUMBER(FIND("±", results!L210)), LEFT(results!L210, FIND("±", results!L210) - 1), results!L210)</f>
        <v xml:space="preserve">1.26 </v>
      </c>
      <c r="P214" s="6" t="str">
        <f>IF(ISNUMBER(FIND("±", results!M210)), LEFT(results!M210, FIND("±", results!M210) - 1), results!M210)</f>
        <v xml:space="preserve">11.11 </v>
      </c>
      <c r="Q214" s="3">
        <v>144.97999999999999</v>
      </c>
      <c r="R214" s="6">
        <v>3.91</v>
      </c>
    </row>
    <row r="215" spans="4:18" x14ac:dyDescent="0.25">
      <c r="D215" s="3" t="s">
        <v>1564</v>
      </c>
      <c r="E215" s="2" t="str">
        <f>IF(ISNUMBER(FIND("±", results!B211)), LEFT(results!B211, FIND("±", results!B211) - 1), results!B211)</f>
        <v xml:space="preserve">771.04 </v>
      </c>
      <c r="F215" s="14" t="str">
        <f>IF(ISNUMBER(FIND("±", results!C211)), LEFT(results!C211, FIND("±", results!C211) - 1), results!C211)</f>
        <v xml:space="preserve">3.46 </v>
      </c>
      <c r="G215" s="21" t="str">
        <f>IF(ISNUMBER(FIND("±", results!D211)), LEFT(results!D211, FIND("±", results!D211) - 1), results!D211)</f>
        <v xml:space="preserve">91.22 </v>
      </c>
      <c r="H215" s="2" t="str">
        <f>IF(ISNUMBER(FIND("±", results!E211)), LEFT(results!E211, FIND("±", results!E211) - 1), results!E211)</f>
        <v xml:space="preserve">758.20 </v>
      </c>
      <c r="I215" s="14" t="str">
        <f>IF(ISNUMBER(FIND("±", results!F211)), LEFT(results!F211, FIND("±", results!F211) - 1), results!F211)</f>
        <v xml:space="preserve">0.00 </v>
      </c>
      <c r="J215" s="5" t="str">
        <f>IF(ISNUMBER(FIND("±", results!G211)), LEFT(results!G211, FIND("±", results!G211) - 1), results!G211)</f>
        <v xml:space="preserve">95.42 </v>
      </c>
      <c r="K215" s="21" t="str">
        <f>IF(ISNUMBER(FIND("±", results!H211)), LEFT(results!H211, FIND("±", results!H211) - 1), results!H211)</f>
        <v xml:space="preserve">717.78 </v>
      </c>
      <c r="L215" s="14" t="str">
        <f>IF(ISNUMBER(FIND("±", results!I211)), LEFT(results!I211, FIND("±", results!I211) - 1), results!I211)</f>
        <v xml:space="preserve">0.94 </v>
      </c>
      <c r="M215" s="14" t="str">
        <f>IF(ISNUMBER(FIND("±", results!J211)), LEFT(results!J211, FIND("±", results!J211) - 1), results!J211)</f>
        <v xml:space="preserve">97.78 </v>
      </c>
      <c r="N215" s="2" t="str">
        <f>IF(ISNUMBER(FIND("±", results!K211)), LEFT(results!K211, FIND("±", results!K211) - 1), results!K211)</f>
        <v xml:space="preserve">733.00 </v>
      </c>
      <c r="O215" s="14" t="str">
        <f>IF(ISNUMBER(FIND("±", results!L211)), LEFT(results!L211, FIND("±", results!L211) - 1), results!L211)</f>
        <v xml:space="preserve">0.94 </v>
      </c>
      <c r="P215" s="5" t="str">
        <f>IF(ISNUMBER(FIND("±", results!M211)), LEFT(results!M211, FIND("±", results!M211) - 1), results!M211)</f>
        <v xml:space="preserve">113.18 </v>
      </c>
      <c r="Q215" s="2">
        <v>769.32</v>
      </c>
      <c r="R215" s="5">
        <v>86.37</v>
      </c>
    </row>
    <row r="216" spans="4:18" x14ac:dyDescent="0.25">
      <c r="D216" s="3" t="s">
        <v>1565</v>
      </c>
      <c r="E216" s="18" t="str">
        <f>IF(ISNUMBER(FIND("±", results!B212)), LEFT(results!B212, FIND("±", results!B212) - 1), results!B212)</f>
        <v xml:space="preserve">458.58 </v>
      </c>
      <c r="F216" t="str">
        <f>IF(ISNUMBER(FIND("±", results!C212)), LEFT(results!C212, FIND("±", results!C212) - 1), results!C212)</f>
        <v xml:space="preserve">1.24 </v>
      </c>
      <c r="G216" s="19" t="str">
        <f>IF(ISNUMBER(FIND("±", results!D212)), LEFT(results!D212, FIND("±", results!D212) - 1), results!D212)</f>
        <v xml:space="preserve">124.34 </v>
      </c>
      <c r="H216" s="3" t="str">
        <f>IF(ISNUMBER(FIND("±", results!E212)), LEFT(results!E212, FIND("±", results!E212) - 1), results!E212)</f>
        <v xml:space="preserve">527.54 </v>
      </c>
      <c r="I216" t="str">
        <f>IF(ISNUMBER(FIND("±", results!F212)), LEFT(results!F212, FIND("±", results!F212) - 1), results!F212)</f>
        <v xml:space="preserve">0.00 </v>
      </c>
      <c r="J216" s="6" t="str">
        <f>IF(ISNUMBER(FIND("±", results!G212)), LEFT(results!G212, FIND("±", results!G212) - 1), results!G212)</f>
        <v xml:space="preserve">156.65 </v>
      </c>
      <c r="K216" t="str">
        <f>IF(ISNUMBER(FIND("±", results!H212)), LEFT(results!H212, FIND("±", results!H212) - 1), results!H212)</f>
        <v xml:space="preserve">492.76 </v>
      </c>
      <c r="L216" t="str">
        <f>IF(ISNUMBER(FIND("±", results!I212)), LEFT(results!I212, FIND("±", results!I212) - 1), results!I212)</f>
        <v xml:space="preserve">0.52 </v>
      </c>
      <c r="M216" t="str">
        <f>IF(ISNUMBER(FIND("±", results!J212)), LEFT(results!J212, FIND("±", results!J212) - 1), results!J212)</f>
        <v xml:space="preserve">143.77 </v>
      </c>
      <c r="N216" s="3" t="str">
        <f>IF(ISNUMBER(FIND("±", results!K212)), LEFT(results!K212, FIND("±", results!K212) - 1), results!K212)</f>
        <v xml:space="preserve">486.70 </v>
      </c>
      <c r="O216" t="str">
        <f>IF(ISNUMBER(FIND("±", results!L212)), LEFT(results!L212, FIND("±", results!L212) - 1), results!L212)</f>
        <v xml:space="preserve">0.46 </v>
      </c>
      <c r="P216" s="6" t="str">
        <f>IF(ISNUMBER(FIND("±", results!M212)), LEFT(results!M212, FIND("±", results!M212) - 1), results!M212)</f>
        <v xml:space="preserve">140.58 </v>
      </c>
      <c r="Q216" s="3">
        <v>360.26</v>
      </c>
      <c r="R216" s="6">
        <v>184.5</v>
      </c>
    </row>
    <row r="217" spans="4:18" ht="15.75" thickBot="1" x14ac:dyDescent="0.3">
      <c r="D217" s="3" t="s">
        <v>1566</v>
      </c>
      <c r="E217" s="4" t="str">
        <f>IF(ISNUMBER(FIND("±", results!B213)), LEFT(results!B213, FIND("±", results!B213) - 1), results!B213)</f>
        <v xml:space="preserve">934.26 </v>
      </c>
      <c r="F217" s="15" t="str">
        <f>IF(ISNUMBER(FIND("±", results!C213)), LEFT(results!C213, FIND("±", results!C213) - 1), results!C213)</f>
        <v xml:space="preserve">2.66 </v>
      </c>
      <c r="G217" s="15" t="str">
        <f>IF(ISNUMBER(FIND("±", results!D213)), LEFT(results!D213, FIND("±", results!D213) - 1), results!D213)</f>
        <v xml:space="preserve">294.73 </v>
      </c>
      <c r="H217" s="4" t="str">
        <f>IF(ISNUMBER(FIND("±", results!E213)), LEFT(results!E213, FIND("±", results!E213) - 1), results!E213)</f>
        <v xml:space="preserve">1005.00 </v>
      </c>
      <c r="I217">
        <f>IF(ISNUMBER(FIND("±", results!F213)), LEFT(results!F213, FIND("±", results!F213) - 1), results!F213)</f>
        <v>0</v>
      </c>
      <c r="J217" s="7" t="str">
        <f>IF(ISNUMBER(FIND("±", results!G213)), LEFT(results!G213, FIND("±", results!G213) - 1), results!G213)</f>
        <v xml:space="preserve">322.54 </v>
      </c>
      <c r="K217" s="23" t="str">
        <f>IF(ISNUMBER(FIND("±", results!H213)), LEFT(results!H213, FIND("±", results!H213) - 1), results!H213)</f>
        <v xml:space="preserve">915.20 </v>
      </c>
      <c r="L217" s="15" t="str">
        <f>IF(ISNUMBER(FIND("±", results!I213)), LEFT(results!I213, FIND("±", results!I213) - 1), results!I213)</f>
        <v xml:space="preserve">0.54 </v>
      </c>
      <c r="M217" s="23" t="str">
        <f>IF(ISNUMBER(FIND("±", results!J213)), LEFT(results!J213, FIND("±", results!J213) - 1), results!J213)</f>
        <v xml:space="preserve">290.40 </v>
      </c>
      <c r="N217" s="4" t="str">
        <f>IF(ISNUMBER(FIND("±", results!K213)), LEFT(results!K213, FIND("±", results!K213) - 1), results!K213)</f>
        <v xml:space="preserve">960.44 </v>
      </c>
      <c r="O217" s="15" t="str">
        <f>IF(ISNUMBER(FIND("±", results!L213)), LEFT(results!L213, FIND("±", results!L213) - 1), results!L213)</f>
        <v xml:space="preserve">0.58 </v>
      </c>
      <c r="P217" s="7" t="str">
        <f>IF(ISNUMBER(FIND("±", results!M213)), LEFT(results!M213, FIND("±", results!M213) - 1), results!M213)</f>
        <v xml:space="preserve">303.60 </v>
      </c>
      <c r="Q217" s="4">
        <v>986.26</v>
      </c>
      <c r="R217" s="7">
        <v>354.16</v>
      </c>
    </row>
    <row r="218" spans="4:18" ht="15.75" thickBot="1" x14ac:dyDescent="0.3">
      <c r="D218" s="8" t="s">
        <v>1567</v>
      </c>
      <c r="E218" s="3" t="str">
        <f>IF(ISNUMBER(FIND("±", results!B214)), LEFT(results!B214, FIND("±", results!B214) - 1), results!B214)</f>
        <v xml:space="preserve">139.10 </v>
      </c>
      <c r="F218" t="str">
        <f>IF(ISNUMBER(FIND("±", results!C214)), LEFT(results!C214, FIND("±", results!C214) - 1), results!C214)</f>
        <v xml:space="preserve">77.38 </v>
      </c>
      <c r="G218" t="str">
        <f>IF(ISNUMBER(FIND("±", results!D214)), LEFT(results!D214, FIND("±", results!D214) - 1), results!D214)</f>
        <v xml:space="preserve">15.20 </v>
      </c>
      <c r="H218" s="3" t="str">
        <f>IF(ISNUMBER(FIND("±", results!E214)), LEFT(results!E214, FIND("±", results!E214) - 1), results!E214)</f>
        <v xml:space="preserve">186.48 </v>
      </c>
      <c r="I218" t="str">
        <f>IF(ISNUMBER(FIND("±", results!F214)), LEFT(results!F214, FIND("±", results!F214) - 1), results!F214)</f>
        <v xml:space="preserve">0.00 </v>
      </c>
      <c r="J218" s="6" t="str">
        <f>IF(ISNUMBER(FIND("±", results!G214)), LEFT(results!G214, FIND("±", results!G214) - 1), results!G214)</f>
        <v xml:space="preserve">31.96 </v>
      </c>
      <c r="K218" t="str">
        <f>IF(ISNUMBER(FIND("±", results!H214)), LEFT(results!H214, FIND("±", results!H214) - 1), results!H214)</f>
        <v xml:space="preserve">99.04 </v>
      </c>
      <c r="L218" t="str">
        <f>IF(ISNUMBER(FIND("±", results!I214)), LEFT(results!I214, FIND("±", results!I214) - 1), results!I214)</f>
        <v xml:space="preserve">17.36 </v>
      </c>
      <c r="M218" t="str">
        <f>IF(ISNUMBER(FIND("±", results!J214)), LEFT(results!J214, FIND("±", results!J214) - 1), results!J214)</f>
        <v xml:space="preserve">11.85 </v>
      </c>
      <c r="N218" s="18" t="str">
        <f>IF(ISNUMBER(FIND("±", results!K214)), LEFT(results!K214, FIND("±", results!K214) - 1), results!K214)</f>
        <v xml:space="preserve">88.16 </v>
      </c>
      <c r="O218" t="str">
        <f>IF(ISNUMBER(FIND("±", results!L214)), LEFT(results!L214, FIND("±", results!L214) - 1), results!L214)</f>
        <v xml:space="preserve">17.04 </v>
      </c>
      <c r="P218" s="25" t="str">
        <f>IF(ISNUMBER(FIND("±", results!M214)), LEFT(results!M214, FIND("±", results!M214) - 1), results!M214)</f>
        <v xml:space="preserve">10.21 </v>
      </c>
      <c r="Q218" s="3">
        <v>59.68</v>
      </c>
      <c r="R218" s="6">
        <v>2.27</v>
      </c>
    </row>
    <row r="219" spans="4:18" ht="15.75" thickBot="1" x14ac:dyDescent="0.3">
      <c r="D219" s="3" t="s">
        <v>1568</v>
      </c>
      <c r="E219" s="8" t="str">
        <f>IF(ISNUMBER(FIND("±", results!B215)), LEFT(results!B215, FIND("±", results!B215) - 1), results!B215)</f>
        <v xml:space="preserve">29.76 </v>
      </c>
      <c r="F219" s="1" t="str">
        <f>IF(ISNUMBER(FIND("±", results!C215)), LEFT(results!C215, FIND("±", results!C215) - 1), results!C215)</f>
        <v xml:space="preserve">13.24 </v>
      </c>
      <c r="G219" s="1" t="str">
        <f>IF(ISNUMBER(FIND("±", results!D215)), LEFT(results!D215, FIND("±", results!D215) - 1), results!D215)</f>
        <v xml:space="preserve">0.58 </v>
      </c>
      <c r="H219" s="8" t="str">
        <f>IF(ISNUMBER(FIND("±", results!E215)), LEFT(results!E215, FIND("±", results!E215) - 1), results!E215)</f>
        <v xml:space="preserve">24.08 </v>
      </c>
      <c r="I219" s="1" t="str">
        <f>IF(ISNUMBER(FIND("±", results!F215)), LEFT(results!F215, FIND("±", results!F215) - 1), results!F215)</f>
        <v xml:space="preserve">0.00 </v>
      </c>
      <c r="J219" s="13" t="str">
        <f>IF(ISNUMBER(FIND("±", results!G215)), LEFT(results!G215, FIND("±", results!G215) - 1), results!G215)</f>
        <v xml:space="preserve">0.54 </v>
      </c>
      <c r="K219" s="22" t="str">
        <f>IF(ISNUMBER(FIND("±", results!H215)), LEFT(results!H215, FIND("±", results!H215) - 1), results!H215)</f>
        <v xml:space="preserve">14.69 </v>
      </c>
      <c r="L219" s="1" t="str">
        <f>IF(ISNUMBER(FIND("±", results!I215)), LEFT(results!I215, FIND("±", results!I215) - 1), results!I215)</f>
        <v xml:space="preserve">2.65 </v>
      </c>
      <c r="M219" s="22" t="str">
        <f>IF(ISNUMBER(FIND("±", results!J215)), LEFT(results!J215, FIND("±", results!J215) - 1), results!J215)</f>
        <v xml:space="preserve">0.28 </v>
      </c>
      <c r="N219" s="28" t="str">
        <f>IF(ISNUMBER(FIND("±", results!K215)), LEFT(results!K215, FIND("±", results!K215) - 1), results!K215)</f>
        <v xml:space="preserve">14.69 </v>
      </c>
      <c r="O219" s="1" t="str">
        <f>IF(ISNUMBER(FIND("±", results!L215)), LEFT(results!L215, FIND("±", results!L215) - 1), results!L215)</f>
        <v xml:space="preserve">2.65 </v>
      </c>
      <c r="P219" s="13" t="str">
        <f>IF(ISNUMBER(FIND("±", results!M215)), LEFT(results!M215, FIND("±", results!M215) - 1), results!M215)</f>
        <v xml:space="preserve">0.32 </v>
      </c>
      <c r="Q219" s="8">
        <v>9</v>
      </c>
      <c r="R219" s="13">
        <v>0.2</v>
      </c>
    </row>
    <row r="220" spans="4:18" x14ac:dyDescent="0.25">
      <c r="D220" s="2" t="s">
        <v>1045</v>
      </c>
      <c r="E220" s="3" t="str">
        <f>IF(ISNUMBER(FIND("±", results!B216)), LEFT(results!B216, FIND("±", results!B216) - 1), results!B216)</f>
        <v xml:space="preserve">163.06 </v>
      </c>
      <c r="F220" t="str">
        <f>IF(ISNUMBER(FIND("±", results!C216)), LEFT(results!C216, FIND("±", results!C216) - 1), results!C216)</f>
        <v xml:space="preserve">131.86 </v>
      </c>
      <c r="G220" t="str">
        <f>IF(ISNUMBER(FIND("±", results!D216)), LEFT(results!D216, FIND("±", results!D216) - 1), results!D216)</f>
        <v xml:space="preserve">4.78 </v>
      </c>
      <c r="H220" s="3" t="str">
        <f>IF(ISNUMBER(FIND("±", results!E216)), LEFT(results!E216, FIND("±", results!E216) - 1), results!E216)</f>
        <v xml:space="preserve">198.52 </v>
      </c>
      <c r="I220" t="str">
        <f>IF(ISNUMBER(FIND("±", results!F216)), LEFT(results!F216, FIND("±", results!F216) - 1), results!F216)</f>
        <v xml:space="preserve">0.00 </v>
      </c>
      <c r="J220" s="6" t="str">
        <f>IF(ISNUMBER(FIND("±", results!G216)), LEFT(results!G216, FIND("±", results!G216) - 1), results!G216)</f>
        <v xml:space="preserve">8.43 </v>
      </c>
      <c r="K220" t="str">
        <f>IF(ISNUMBER(FIND("±", results!H216)), LEFT(results!H216, FIND("±", results!H216) - 1), results!H216)</f>
        <v xml:space="preserve">136.00 </v>
      </c>
      <c r="L220" t="str">
        <f>IF(ISNUMBER(FIND("±", results!I216)), LEFT(results!I216, FIND("±", results!I216) - 1), results!I216)</f>
        <v xml:space="preserve">33.88 </v>
      </c>
      <c r="M220" s="19" t="str">
        <f>IF(ISNUMBER(FIND("±", results!J216)), LEFT(results!J216, FIND("±", results!J216) - 1), results!J216)</f>
        <v xml:space="preserve">4.10 </v>
      </c>
      <c r="N220" s="18" t="str">
        <f>IF(ISNUMBER(FIND("±", results!K216)), LEFT(results!K216, FIND("±", results!K216) - 1), results!K216)</f>
        <v xml:space="preserve">115.44 </v>
      </c>
      <c r="O220" t="str">
        <f>IF(ISNUMBER(FIND("±", results!L216)), LEFT(results!L216, FIND("±", results!L216) - 1), results!L216)</f>
        <v xml:space="preserve">33.40 </v>
      </c>
      <c r="P220" s="6" t="str">
        <f>IF(ISNUMBER(FIND("±", results!M216)), LEFT(results!M216, FIND("±", results!M216) - 1), results!M216)</f>
        <v xml:space="preserve">4.26 </v>
      </c>
      <c r="Q220" s="3">
        <v>34.380000000000003</v>
      </c>
      <c r="R220" s="6">
        <v>0.25</v>
      </c>
    </row>
    <row r="221" spans="4:18" ht="15.75" thickBot="1" x14ac:dyDescent="0.3">
      <c r="D221" s="4" t="s">
        <v>1569</v>
      </c>
      <c r="E221" s="3" t="str">
        <f>IF(ISNUMBER(FIND("±", results!B217)), LEFT(results!B217, FIND("±", results!B217) - 1), results!B217)</f>
        <v xml:space="preserve">719.44 </v>
      </c>
      <c r="F221" t="str">
        <f>IF(ISNUMBER(FIND("±", results!C217)), LEFT(results!C217, FIND("±", results!C217) - 1), results!C217)</f>
        <v xml:space="preserve">642.66 </v>
      </c>
      <c r="G221" t="str">
        <f>IF(ISNUMBER(FIND("±", results!D217)), LEFT(results!D217, FIND("±", results!D217) - 1), results!D217)</f>
        <v xml:space="preserve">221.50 </v>
      </c>
      <c r="H221" s="3" t="str">
        <f>IF(ISNUMBER(FIND("±", results!E217)), LEFT(results!E217, FIND("±", results!E217) - 1), results!E217)</f>
        <v xml:space="preserve">725.84 </v>
      </c>
      <c r="I221" t="str">
        <f>IF(ISNUMBER(FIND("±", results!F217)), LEFT(results!F217, FIND("±", results!F217) - 1), results!F217)</f>
        <v xml:space="preserve">0.00 </v>
      </c>
      <c r="J221" s="6" t="str">
        <f>IF(ISNUMBER(FIND("±", results!G217)), LEFT(results!G217, FIND("±", results!G217) - 1), results!G217)</f>
        <v xml:space="preserve">319.35 </v>
      </c>
      <c r="K221" t="str">
        <f>IF(ISNUMBER(FIND("±", results!H217)), LEFT(results!H217, FIND("±", results!H217) - 1), results!H217)</f>
        <v xml:space="preserve">427.56 </v>
      </c>
      <c r="L221" t="str">
        <f>IF(ISNUMBER(FIND("±", results!I217)), LEFT(results!I217, FIND("±", results!I217) - 1), results!I217)</f>
        <v xml:space="preserve">123.10 </v>
      </c>
      <c r="M221" s="19" t="str">
        <f>IF(ISNUMBER(FIND("±", results!J217)), LEFT(results!J217, FIND("±", results!J217) - 1), results!J217)</f>
        <v xml:space="preserve">91.34 </v>
      </c>
      <c r="N221" s="18" t="str">
        <f>IF(ISNUMBER(FIND("±", results!K217)), LEFT(results!K217, FIND("±", results!K217) - 1), results!K217)</f>
        <v xml:space="preserve">376.42 </v>
      </c>
      <c r="O221" t="str">
        <f>IF(ISNUMBER(FIND("±", results!L217)), LEFT(results!L217, FIND("±", results!L217) - 1), results!L217)</f>
        <v xml:space="preserve">134.14 </v>
      </c>
      <c r="P221" s="6" t="str">
        <f>IF(ISNUMBER(FIND("±", results!M217)), LEFT(results!M217, FIND("±", results!M217) - 1), results!M217)</f>
        <v xml:space="preserve">98.74 </v>
      </c>
      <c r="Q221" s="3">
        <v>87.46</v>
      </c>
      <c r="R221" s="6">
        <v>1.45</v>
      </c>
    </row>
    <row r="222" spans="4:18" x14ac:dyDescent="0.25">
      <c r="D222" s="3" t="s">
        <v>1570</v>
      </c>
      <c r="E222" s="2" t="str">
        <f>IF(ISNUMBER(FIND("±", results!B218)), LEFT(results!B218, FIND("±", results!B218) - 1), results!B218)</f>
        <v xml:space="preserve">101.64 </v>
      </c>
      <c r="F222" s="14" t="str">
        <f>IF(ISNUMBER(FIND("±", results!C218)), LEFT(results!C218, FIND("±", results!C218) - 1), results!C218)</f>
        <v xml:space="preserve">40.84 </v>
      </c>
      <c r="G222" s="14" t="str">
        <f>IF(ISNUMBER(FIND("±", results!D218)), LEFT(results!D218, FIND("±", results!D218) - 1), results!D218)</f>
        <v xml:space="preserve">3.87 </v>
      </c>
      <c r="H222" s="2" t="str">
        <f>IF(ISNUMBER(FIND("±", results!E218)), LEFT(results!E218, FIND("±", results!E218) - 1), results!E218)</f>
        <v xml:space="preserve">102.64 </v>
      </c>
      <c r="I222" s="14" t="str">
        <f>IF(ISNUMBER(FIND("±", results!F218)), LEFT(results!F218, FIND("±", results!F218) - 1), results!F218)</f>
        <v xml:space="preserve">0.00 </v>
      </c>
      <c r="J222" s="5" t="str">
        <f>IF(ISNUMBER(FIND("±", results!G218)), LEFT(results!G218, FIND("±", results!G218) - 1), results!G218)</f>
        <v xml:space="preserve">4.02 </v>
      </c>
      <c r="K222" s="14" t="str">
        <f>IF(ISNUMBER(FIND("±", results!H218)), LEFT(results!H218, FIND("±", results!H218) - 1), results!H218)</f>
        <v xml:space="preserve">99.56 </v>
      </c>
      <c r="L222" s="14" t="str">
        <f>IF(ISNUMBER(FIND("±", results!I218)), LEFT(results!I218, FIND("±", results!I218) - 1), results!I218)</f>
        <v xml:space="preserve">15.40 </v>
      </c>
      <c r="M222" s="21" t="str">
        <f>IF(ISNUMBER(FIND("±", results!J218)), LEFT(results!J218, FIND("±", results!J218) - 1), results!J218)</f>
        <v xml:space="preserve">2.66 </v>
      </c>
      <c r="N222" s="26" t="str">
        <f>IF(ISNUMBER(FIND("±", results!K218)), LEFT(results!K218, FIND("±", results!K218) - 1), results!K218)</f>
        <v xml:space="preserve">98.92 </v>
      </c>
      <c r="O222" s="14" t="str">
        <f>IF(ISNUMBER(FIND("±", results!L218)), LEFT(results!L218, FIND("±", results!L218) - 1), results!L218)</f>
        <v xml:space="preserve">15.40 </v>
      </c>
      <c r="P222" s="5" t="str">
        <f>IF(ISNUMBER(FIND("±", results!M218)), LEFT(results!M218, FIND("±", results!M218) - 1), results!M218)</f>
        <v xml:space="preserve">2.98 </v>
      </c>
      <c r="Q222" s="2">
        <v>47.49</v>
      </c>
      <c r="R222" s="5">
        <v>1.34</v>
      </c>
    </row>
    <row r="223" spans="4:18" ht="15.75" thickBot="1" x14ac:dyDescent="0.3">
      <c r="D223" s="4" t="s">
        <v>1571</v>
      </c>
      <c r="E223" s="30" t="str">
        <f>IF(ISNUMBER(FIND("±", results!B219)), LEFT(results!B219, FIND("±", results!B219) - 1), results!B219)</f>
        <v xml:space="preserve">189.72 </v>
      </c>
      <c r="F223" s="15" t="str">
        <f>IF(ISNUMBER(FIND("±", results!C219)), LEFT(results!C219, FIND("±", results!C219) - 1), results!C219)</f>
        <v xml:space="preserve">81.44 </v>
      </c>
      <c r="G223" s="15" t="str">
        <f>IF(ISNUMBER(FIND("±", results!D219)), LEFT(results!D219, FIND("±", results!D219) - 1), results!D219)</f>
        <v xml:space="preserve">34.92 </v>
      </c>
      <c r="H223" s="4" t="str">
        <f>IF(ISNUMBER(FIND("±", results!E219)), LEFT(results!E219, FIND("±", results!E219) - 1), results!E219)</f>
        <v xml:space="preserve">190.72 </v>
      </c>
      <c r="I223" s="15" t="str">
        <f>IF(ISNUMBER(FIND("±", results!F219)), LEFT(results!F219, FIND("±", results!F219) - 1), results!F219)</f>
        <v xml:space="preserve">0.00 </v>
      </c>
      <c r="J223" s="7" t="str">
        <f>IF(ISNUMBER(FIND("±", results!G219)), LEFT(results!G219, FIND("±", results!G219) - 1), results!G219)</f>
        <v xml:space="preserve">34.43 </v>
      </c>
      <c r="K223" s="15" t="str">
        <f>IF(ISNUMBER(FIND("±", results!H219)), LEFT(results!H219, FIND("±", results!H219) - 1), results!H219)</f>
        <v xml:space="preserve">203.96 </v>
      </c>
      <c r="L223" s="15" t="str">
        <f>IF(ISNUMBER(FIND("±", results!I219)), LEFT(results!I219, FIND("±", results!I219) - 1), results!I219)</f>
        <v xml:space="preserve">37.84 </v>
      </c>
      <c r="M223" s="23" t="str">
        <f>IF(ISNUMBER(FIND("±", results!J219)), LEFT(results!J219, FIND("±", results!J219) - 1), results!J219)</f>
        <v xml:space="preserve">28.44 </v>
      </c>
      <c r="N223" s="4" t="str">
        <f>IF(ISNUMBER(FIND("±", results!K219)), LEFT(results!K219, FIND("±", results!K219) - 1), results!K219)</f>
        <v xml:space="preserve">205.04 </v>
      </c>
      <c r="O223" s="15" t="str">
        <f>IF(ISNUMBER(FIND("±", results!L219)), LEFT(results!L219, FIND("±", results!L219) - 1), results!L219)</f>
        <v xml:space="preserve">37.84 </v>
      </c>
      <c r="P223" s="7" t="str">
        <f>IF(ISNUMBER(FIND("±", results!M219)), LEFT(results!M219, FIND("±", results!M219) - 1), results!M219)</f>
        <v xml:space="preserve">35.98 </v>
      </c>
      <c r="Q223" s="4">
        <v>66.06</v>
      </c>
      <c r="R223" s="7">
        <v>8.65</v>
      </c>
    </row>
    <row r="226" spans="4:16" ht="15.75" thickBot="1" x14ac:dyDescent="0.3"/>
    <row r="227" spans="4:16" ht="15.75" thickBot="1" x14ac:dyDescent="0.3">
      <c r="D227" s="217" t="s">
        <v>1034</v>
      </c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9"/>
    </row>
    <row r="228" spans="4:16" x14ac:dyDescent="0.25">
      <c r="D228" s="132" t="s">
        <v>1035</v>
      </c>
      <c r="E228" s="220" t="s">
        <v>46</v>
      </c>
      <c r="F228" s="221"/>
      <c r="G228" s="221"/>
      <c r="H228" s="214" t="s">
        <v>34</v>
      </c>
      <c r="I228" s="216"/>
      <c r="J228" s="215"/>
      <c r="K228" s="216" t="s">
        <v>32</v>
      </c>
      <c r="L228" s="216"/>
      <c r="M228" s="216"/>
      <c r="N228" s="214" t="s">
        <v>41</v>
      </c>
      <c r="O228" s="216"/>
      <c r="P228" s="215"/>
    </row>
    <row r="229" spans="4:16" ht="15.75" thickBot="1" x14ac:dyDescent="0.3">
      <c r="D229" s="133"/>
      <c r="E229" s="3" t="s">
        <v>1572</v>
      </c>
      <c r="F229" t="s">
        <v>1533</v>
      </c>
      <c r="G229" t="s">
        <v>48</v>
      </c>
      <c r="H229" s="4" t="s">
        <v>1572</v>
      </c>
      <c r="I229" s="15" t="s">
        <v>1533</v>
      </c>
      <c r="J229" s="7" t="s">
        <v>48</v>
      </c>
      <c r="K229" t="s">
        <v>1572</v>
      </c>
      <c r="L229" t="s">
        <v>1533</v>
      </c>
      <c r="M229" t="s">
        <v>48</v>
      </c>
      <c r="N229" s="4" t="s">
        <v>1572</v>
      </c>
      <c r="O229" s="15" t="s">
        <v>1533</v>
      </c>
      <c r="P229" s="7" t="s">
        <v>48</v>
      </c>
    </row>
    <row r="230" spans="4:16" x14ac:dyDescent="0.25">
      <c r="D230" s="2" t="s">
        <v>1561</v>
      </c>
      <c r="E230" s="26" t="str">
        <f>IF(ISNUMBER(FIND("±", results!B226)), LEFT(results!B226, FIND("±", results!B226) - 1), results!B226)</f>
        <v xml:space="preserve">92.18 </v>
      </c>
      <c r="F230" s="14" t="str">
        <f>IF(ISNUMBER(FIND("±", results!C226)), LEFT(results!C226, FIND("±", results!C226) - 1), results!C226)</f>
        <v xml:space="preserve">2.20 </v>
      </c>
      <c r="G230" s="21" t="str">
        <f>IF(ISNUMBER(FIND("±", results!D226)), LEFT(results!D226, FIND("±", results!D226) - 1), results!D226)</f>
        <v xml:space="preserve">0.84 </v>
      </c>
      <c r="H230" s="2" t="str">
        <f>IF(ISNUMBER(FIND("±", results!E226)), LEFT(results!E226, FIND("±", results!E226) - 1), results!E226)</f>
        <v xml:space="preserve">135.94 </v>
      </c>
      <c r="I230" s="14" t="str">
        <f>IF(ISNUMBER(FIND("±", results!F226)), LEFT(results!F226, FIND("±", results!F226) - 1), results!F226)</f>
        <v xml:space="preserve">0.00 </v>
      </c>
      <c r="J230" s="5" t="str">
        <f>IF(ISNUMBER(FIND("±", results!G226)), LEFT(results!G226, FIND("±", results!G226) - 1), results!G226)</f>
        <v xml:space="preserve">2.52 </v>
      </c>
      <c r="K230" s="14" t="str">
        <f>IF(ISNUMBER(FIND("±", results!H226)), LEFT(results!H226, FIND("±", results!H226) - 1), results!H226)</f>
        <v xml:space="preserve">122.58 </v>
      </c>
      <c r="L230" s="14" t="str">
        <f>IF(ISNUMBER(FIND("±", results!I226)), LEFT(results!I226, FIND("±", results!I226) - 1), results!I226)</f>
        <v xml:space="preserve">1.94 </v>
      </c>
      <c r="M230" s="14" t="str">
        <f>IF(ISNUMBER(FIND("±", results!J226)), LEFT(results!J226, FIND("±", results!J226) - 1), results!J226)</f>
        <v xml:space="preserve">3.11 </v>
      </c>
      <c r="N230" s="2" t="str">
        <f>IF(ISNUMBER(FIND("±", results!K226)), LEFT(results!K226, FIND("±", results!K226) - 1), results!K226)</f>
        <v xml:space="preserve">94.52 </v>
      </c>
      <c r="O230" s="14" t="str">
        <f>IF(ISNUMBER(FIND("±", results!L226)), LEFT(results!L226, FIND("±", results!L226) - 1), results!L226)</f>
        <v xml:space="preserve">2.08 </v>
      </c>
      <c r="P230" s="5" t="str">
        <f>IF(ISNUMBER(FIND("±", results!M226)), LEFT(results!M226, FIND("±", results!M226) - 1), results!M226)</f>
        <v xml:space="preserve">4.54 </v>
      </c>
    </row>
    <row r="231" spans="4:16" x14ac:dyDescent="0.25">
      <c r="D231" s="3" t="s">
        <v>1562</v>
      </c>
      <c r="E231" s="18" t="str">
        <f>IF(ISNUMBER(FIND("±", results!B227)), LEFT(results!B227, FIND("±", results!B227) - 1), results!B227)</f>
        <v xml:space="preserve">109.16 </v>
      </c>
      <c r="F231" t="str">
        <f>IF(ISNUMBER(FIND("±", results!C227)), LEFT(results!C227, FIND("±", results!C227) - 1), results!C227)</f>
        <v xml:space="preserve">2.86 </v>
      </c>
      <c r="G231" s="19" t="str">
        <f>IF(ISNUMBER(FIND("±", results!D227)), LEFT(results!D227, FIND("±", results!D227) - 1), results!D227)</f>
        <v xml:space="preserve">2.18 </v>
      </c>
      <c r="H231" s="3" t="str">
        <f>IF(ISNUMBER(FIND("±", results!E227)), LEFT(results!E227, FIND("±", results!E227) - 1), results!E227)</f>
        <v xml:space="preserve">151.00 </v>
      </c>
      <c r="I231" t="str">
        <f>IF(ISNUMBER(FIND("±", results!F227)), LEFT(results!F227, FIND("±", results!F227) - 1), results!F227)</f>
        <v xml:space="preserve">0.00 </v>
      </c>
      <c r="J231" s="6" t="str">
        <f>IF(ISNUMBER(FIND("±", results!G227)), LEFT(results!G227, FIND("±", results!G227) - 1), results!G227)</f>
        <v xml:space="preserve">6.21 </v>
      </c>
      <c r="K231" t="str">
        <f>IF(ISNUMBER(FIND("±", results!H227)), LEFT(results!H227, FIND("±", results!H227) - 1), results!H227)</f>
        <v xml:space="preserve">134.78 </v>
      </c>
      <c r="L231" t="str">
        <f>IF(ISNUMBER(FIND("±", results!I227)), LEFT(results!I227, FIND("±", results!I227) - 1), results!I227)</f>
        <v xml:space="preserve">2.32 </v>
      </c>
      <c r="M231" t="str">
        <f>IF(ISNUMBER(FIND("±", results!J227)), LEFT(results!J227, FIND("±", results!J227) - 1), results!J227)</f>
        <v xml:space="preserve">7.25 </v>
      </c>
      <c r="N231" s="3" t="str">
        <f>IF(ISNUMBER(FIND("±", results!K227)), LEFT(results!K227, FIND("±", results!K227) - 1), results!K227)</f>
        <v xml:space="preserve">118.50 </v>
      </c>
      <c r="O231" t="str">
        <f>IF(ISNUMBER(FIND("±", results!L227)), LEFT(results!L227, FIND("±", results!L227) - 1), results!L227)</f>
        <v xml:space="preserve">2.86 </v>
      </c>
      <c r="P231" s="6" t="str">
        <f>IF(ISNUMBER(FIND("±", results!M227)), LEFT(results!M227, FIND("±", results!M227) - 1), results!M227)</f>
        <v xml:space="preserve">12.57 </v>
      </c>
    </row>
    <row r="232" spans="4:16" ht="15.75" thickBot="1" x14ac:dyDescent="0.3">
      <c r="D232" s="4" t="s">
        <v>1563</v>
      </c>
      <c r="E232" s="3" t="str">
        <f>IF(ISNUMBER(FIND("±", results!B228)), LEFT(results!B228, FIND("±", results!B228) - 1), results!B228)</f>
        <v xml:space="preserve">170.54 </v>
      </c>
      <c r="F232" t="str">
        <f>IF(ISNUMBER(FIND("±", results!C228)), LEFT(results!C228, FIND("±", results!C228) - 1), results!C228)</f>
        <v xml:space="preserve">2.98 </v>
      </c>
      <c r="G232" s="19" t="str">
        <f>IF(ISNUMBER(FIND("±", results!D228)), LEFT(results!D228, FIND("±", results!D228) - 1), results!D228)</f>
        <v xml:space="preserve">8.10 </v>
      </c>
      <c r="H232" s="3" t="str">
        <f>IF(ISNUMBER(FIND("±", results!E228)), LEFT(results!E228, FIND("±", results!E228) - 1), results!E228)</f>
        <v xml:space="preserve">259.32 </v>
      </c>
      <c r="I232" t="str">
        <f>IF(ISNUMBER(FIND("±", results!F228)), LEFT(results!F228, FIND("±", results!F228) - 1), results!F228)</f>
        <v xml:space="preserve">0.00 </v>
      </c>
      <c r="J232" s="6" t="str">
        <f>IF(ISNUMBER(FIND("±", results!G228)), LEFT(results!G228, FIND("±", results!G228) - 1), results!G228)</f>
        <v xml:space="preserve">24.35 </v>
      </c>
      <c r="K232" t="str">
        <f>IF(ISNUMBER(FIND("±", results!H228)), LEFT(results!H228, FIND("±", results!H228) - 1), results!H228)</f>
        <v xml:space="preserve">215.62 </v>
      </c>
      <c r="L232" t="str">
        <f>IF(ISNUMBER(FIND("±", results!I228)), LEFT(results!I228, FIND("±", results!I228) - 1), results!I228)</f>
        <v xml:space="preserve">2.22 </v>
      </c>
      <c r="M232" t="str">
        <f>IF(ISNUMBER(FIND("±", results!J228)), LEFT(results!J228, FIND("±", results!J228) - 1), results!J228)</f>
        <v xml:space="preserve">25.00 </v>
      </c>
      <c r="N232" s="18" t="str">
        <f>IF(ISNUMBER(FIND("±", results!K228)), LEFT(results!K228, FIND("±", results!K228) - 1), results!K228)</f>
        <v xml:space="preserve">164.86 </v>
      </c>
      <c r="O232" t="str">
        <f>IF(ISNUMBER(FIND("±", results!L228)), LEFT(results!L228, FIND("±", results!L228) - 1), results!L228)</f>
        <v xml:space="preserve">2.92 </v>
      </c>
      <c r="P232" s="6" t="str">
        <f>IF(ISNUMBER(FIND("±", results!M228)), LEFT(results!M228, FIND("±", results!M228) - 1), results!M228)</f>
        <v xml:space="preserve">40.53 </v>
      </c>
    </row>
    <row r="233" spans="4:16" x14ac:dyDescent="0.25">
      <c r="D233" s="3" t="s">
        <v>1564</v>
      </c>
      <c r="E233" s="26" t="str">
        <f>IF(ISNUMBER(FIND("±", results!B229)), LEFT(results!B229, FIND("±", results!B229) - 1), results!B229)</f>
        <v xml:space="preserve">689.56 </v>
      </c>
      <c r="F233" s="14" t="str">
        <f>IF(ISNUMBER(FIND("±", results!C229)), LEFT(results!C229, FIND("±", results!C229) - 1), results!C229)</f>
        <v xml:space="preserve">4.14 </v>
      </c>
      <c r="G233" s="21" t="str">
        <f>IF(ISNUMBER(FIND("±", results!D229)), LEFT(results!D229, FIND("±", results!D229) - 1), results!D229)</f>
        <v xml:space="preserve">108.93 </v>
      </c>
      <c r="H233" s="2" t="str">
        <f>IF(ISNUMBER(FIND("±", results!E229)), LEFT(results!E229, FIND("±", results!E229) - 1), results!E229)</f>
        <v xml:space="preserve">813.58 </v>
      </c>
      <c r="I233" s="14" t="str">
        <f>IF(ISNUMBER(FIND("±", results!F229)), LEFT(results!F229, FIND("±", results!F229) - 1), results!F229)</f>
        <v xml:space="preserve">0.00 </v>
      </c>
      <c r="J233" s="5" t="str">
        <f>IF(ISNUMBER(FIND("±", results!G229)), LEFT(results!G229, FIND("±", results!G229) - 1), results!G229)</f>
        <v xml:space="preserve">131.84 </v>
      </c>
      <c r="K233" s="14" t="str">
        <f>IF(ISNUMBER(FIND("±", results!H229)), LEFT(results!H229, FIND("±", results!H229) - 1), results!H229)</f>
        <v xml:space="preserve">779.40 </v>
      </c>
      <c r="L233" s="14" t="str">
        <f>IF(ISNUMBER(FIND("±", results!I229)), LEFT(results!I229, FIND("±", results!I229) - 1), results!I229)</f>
        <v xml:space="preserve">4.42 </v>
      </c>
      <c r="M233" s="14" t="str">
        <f>IF(ISNUMBER(FIND("±", results!J229)), LEFT(results!J229, FIND("±", results!J229) - 1), results!J229)</f>
        <v xml:space="preserve">127.47 </v>
      </c>
      <c r="N233" s="2" t="str">
        <f>IF(ISNUMBER(FIND("±", results!K229)), LEFT(results!K229, FIND("±", results!K229) - 1), results!K229)</f>
        <v xml:space="preserve">792.04 </v>
      </c>
      <c r="O233" s="14" t="str">
        <f>IF(ISNUMBER(FIND("±", results!L229)), LEFT(results!L229, FIND("±", results!L229) - 1), results!L229)</f>
        <v xml:space="preserve">4.30 </v>
      </c>
      <c r="P233" s="5" t="str">
        <f>IF(ISNUMBER(FIND("±", results!M229)), LEFT(results!M229, FIND("±", results!M229) - 1), results!M229)</f>
        <v xml:space="preserve">132.27 </v>
      </c>
    </row>
    <row r="234" spans="4:16" x14ac:dyDescent="0.25">
      <c r="D234" s="3" t="s">
        <v>1565</v>
      </c>
      <c r="E234" s="3" t="str">
        <f>IF(ISNUMBER(FIND("±", results!B230)), LEFT(results!B230, FIND("±", results!B230) - 1), results!B230)</f>
        <v xml:space="preserve">526.66 </v>
      </c>
      <c r="F234" t="str">
        <f>IF(ISNUMBER(FIND("±", results!C230)), LEFT(results!C230, FIND("±", results!C230) - 1), results!C230)</f>
        <v xml:space="preserve">1.40 </v>
      </c>
      <c r="G234" t="str">
        <f>IF(ISNUMBER(FIND("±", results!D230)), LEFT(results!D230, FIND("±", results!D230) - 1), results!D230)</f>
        <v xml:space="preserve">195.52 </v>
      </c>
      <c r="H234" s="3" t="str">
        <f>IF(ISNUMBER(FIND("±", results!E230)), LEFT(results!E230, FIND("±", results!E230) - 1), results!E230)</f>
        <v xml:space="preserve">547.60 </v>
      </c>
      <c r="I234" t="str">
        <f>IF(ISNUMBER(FIND("±", results!F230)), LEFT(results!F230, FIND("±", results!F230) - 1), results!F230)</f>
        <v xml:space="preserve">0.00 </v>
      </c>
      <c r="J234" s="6" t="str">
        <f>IF(ISNUMBER(FIND("±", results!G230)), LEFT(results!G230, FIND("±", results!G230) - 1), results!G230)</f>
        <v xml:space="preserve">223.02 </v>
      </c>
      <c r="K234" s="19" t="str">
        <f>IF(ISNUMBER(FIND("±", results!H230)), LEFT(results!H230, FIND("±", results!H230) - 1), results!H230)</f>
        <v xml:space="preserve">492.80 </v>
      </c>
      <c r="L234" t="str">
        <f>IF(ISNUMBER(FIND("±", results!I230)), LEFT(results!I230, FIND("±", results!I230) - 1), results!I230)</f>
        <v xml:space="preserve">1.52 </v>
      </c>
      <c r="M234" t="str">
        <f>IF(ISNUMBER(FIND("±", results!J230)), LEFT(results!J230, FIND("±", results!J230) - 1), results!J230)</f>
        <v xml:space="preserve">187.43 </v>
      </c>
      <c r="N234" s="3" t="str">
        <f>IF(ISNUMBER(FIND("±", results!K230)), LEFT(results!K230, FIND("±", results!K230) - 1), results!K230)</f>
        <v xml:space="preserve">493.68 </v>
      </c>
      <c r="O234" t="str">
        <f>IF(ISNUMBER(FIND("±", results!L230)), LEFT(results!L230, FIND("±", results!L230) - 1), results!L230)</f>
        <v xml:space="preserve">1.52 </v>
      </c>
      <c r="P234" s="25" t="str">
        <f>IF(ISNUMBER(FIND("±", results!M230)), LEFT(results!M230, FIND("±", results!M230) - 1), results!M230)</f>
        <v xml:space="preserve">185.13 </v>
      </c>
    </row>
    <row r="235" spans="4:16" ht="15.75" thickBot="1" x14ac:dyDescent="0.3">
      <c r="D235" s="3" t="s">
        <v>1566</v>
      </c>
      <c r="E235" s="4"/>
      <c r="F235" s="15"/>
      <c r="G235" s="15"/>
      <c r="H235" s="4"/>
      <c r="I235" s="15"/>
      <c r="J235" s="7"/>
      <c r="K235" s="15"/>
      <c r="L235" s="15"/>
      <c r="M235" s="15"/>
      <c r="N235" s="4"/>
      <c r="O235" s="15"/>
      <c r="P235" s="7"/>
    </row>
    <row r="236" spans="4:16" ht="15.75" thickBot="1" x14ac:dyDescent="0.3">
      <c r="D236" s="8" t="s">
        <v>1567</v>
      </c>
      <c r="E236" s="3" t="str">
        <f>IF(ISNUMBER(FIND("±", results!B232)), LEFT(results!B232, FIND("±", results!B232) - 1), results!B232)</f>
        <v xml:space="preserve">137.78 </v>
      </c>
      <c r="F236" t="str">
        <f>IF(ISNUMBER(FIND("±", results!C232)), LEFT(results!C232, FIND("±", results!C232) - 1), results!C232)</f>
        <v xml:space="preserve">77.56 </v>
      </c>
      <c r="G236" s="19" t="str">
        <f>IF(ISNUMBER(FIND("±", results!D232)), LEFT(results!D232, FIND("±", results!D232) - 1), results!D232)</f>
        <v xml:space="preserve">19.30 </v>
      </c>
      <c r="H236" s="3" t="str">
        <f>IF(ISNUMBER(FIND("±", results!E232)), LEFT(results!E232, FIND("±", results!E232) - 1), results!E232)</f>
        <v xml:space="preserve">186.64 </v>
      </c>
      <c r="I236" t="str">
        <f>IF(ISNUMBER(FIND("±", results!F232)), LEFT(results!F232, FIND("±", results!F232) - 1), results!F232)</f>
        <v xml:space="preserve">0.00 </v>
      </c>
      <c r="J236" s="6" t="str">
        <f>IF(ISNUMBER(FIND("±", results!G232)), LEFT(results!G232, FIND("±", results!G232) - 1), results!G232)</f>
        <v xml:space="preserve">41.16 </v>
      </c>
      <c r="K236" t="str">
        <f>IF(ISNUMBER(FIND("±", results!H232)), LEFT(results!H232, FIND("±", results!H232) - 1), results!H232)</f>
        <v xml:space="preserve">142.20 </v>
      </c>
      <c r="L236" t="str">
        <f>IF(ISNUMBER(FIND("±", results!I232)), LEFT(results!I232, FIND("±", results!I232) - 1), results!I232)</f>
        <v xml:space="preserve">61.74 </v>
      </c>
      <c r="M236" t="str">
        <f>IF(ISNUMBER(FIND("±", results!J232)), LEFT(results!J232, FIND("±", results!J232) - 1), results!J232)</f>
        <v xml:space="preserve">28.02 </v>
      </c>
      <c r="N236" s="18" t="str">
        <f>IF(ISNUMBER(FIND("±", results!K232)), LEFT(results!K232, FIND("±", results!K232) - 1), results!K232)</f>
        <v xml:space="preserve">134.16 </v>
      </c>
      <c r="O236" t="str">
        <f>IF(ISNUMBER(FIND("±", results!L232)), LEFT(results!L232, FIND("±", results!L232) - 1), results!L232)</f>
        <v xml:space="preserve">59.16 </v>
      </c>
      <c r="P236" s="6" t="str">
        <f>IF(ISNUMBER(FIND("±", results!M232)), LEFT(results!M232, FIND("±", results!M232) - 1), results!M232)</f>
        <v xml:space="preserve">24.90 </v>
      </c>
    </row>
    <row r="237" spans="4:16" ht="15.75" thickBot="1" x14ac:dyDescent="0.3">
      <c r="D237" s="3" t="s">
        <v>1568</v>
      </c>
      <c r="E237" s="8" t="str">
        <f>IF(ISNUMBER(FIND("±", results!B233)), LEFT(results!B233, FIND("±", results!B233) - 1), results!B233)</f>
        <v xml:space="preserve">28.41 </v>
      </c>
      <c r="F237" s="1" t="str">
        <f>IF(ISNUMBER(FIND("±", results!C233)), LEFT(results!C233, FIND("±", results!C233) - 1), results!C233)</f>
        <v xml:space="preserve">12.35 </v>
      </c>
      <c r="G237" s="1" t="str">
        <f>IF(ISNUMBER(FIND("±", results!D233)), LEFT(results!D233, FIND("±", results!D233) - 1), results!D233)</f>
        <v xml:space="preserve">0.71 </v>
      </c>
      <c r="H237" s="28" t="str">
        <f>IF(ISNUMBER(FIND("±", results!E233)), LEFT(results!E233, FIND("±", results!E233) - 1), results!E233)</f>
        <v xml:space="preserve">24.15 </v>
      </c>
      <c r="I237" s="1" t="str">
        <f>IF(ISNUMBER(FIND("±", results!F233)), LEFT(results!F233, FIND("±", results!F233) - 1), results!F233)</f>
        <v xml:space="preserve">0.00 </v>
      </c>
      <c r="J237" s="29" t="str">
        <f>IF(ISNUMBER(FIND("±", results!G233)), LEFT(results!G233, FIND("±", results!G233) - 1), results!G233)</f>
        <v xml:space="preserve">0.69 </v>
      </c>
      <c r="K237" s="1" t="str">
        <f>IF(ISNUMBER(FIND("±", results!H233)), LEFT(results!H233, FIND("±", results!H233) - 1), results!H233)</f>
        <v xml:space="preserve">27.63 </v>
      </c>
      <c r="L237" s="1" t="str">
        <f>IF(ISNUMBER(FIND("±", results!I233)), LEFT(results!I233, FIND("±", results!I233) - 1), results!I233)</f>
        <v xml:space="preserve">10.78 </v>
      </c>
      <c r="M237" s="1" t="str">
        <f>IF(ISNUMBER(FIND("±", results!J233)), LEFT(results!J233, FIND("±", results!J233) - 1), results!J233)</f>
        <v xml:space="preserve">0.81 </v>
      </c>
      <c r="N237" s="8" t="str">
        <f>IF(ISNUMBER(FIND("±", results!K233)), LEFT(results!K233, FIND("±", results!K233) - 1), results!K233)</f>
        <v xml:space="preserve">27.43 </v>
      </c>
      <c r="O237" s="1" t="str">
        <f>IF(ISNUMBER(FIND("±", results!L233)), LEFT(results!L233, FIND("±", results!L233) - 1), results!L233)</f>
        <v xml:space="preserve">10.78 </v>
      </c>
      <c r="P237" s="13" t="str">
        <f>IF(ISNUMBER(FIND("±", results!M233)), LEFT(results!M233, FIND("±", results!M233) - 1), results!M233)</f>
        <v xml:space="preserve">0.86 </v>
      </c>
    </row>
    <row r="238" spans="4:16" x14ac:dyDescent="0.25">
      <c r="D238" s="2" t="s">
        <v>1045</v>
      </c>
      <c r="E238" s="18" t="str">
        <f>IF(ISNUMBER(FIND("±", results!B234)), LEFT(results!B234, FIND("±", results!B234) - 1), results!B234)</f>
        <v xml:space="preserve">152.82 </v>
      </c>
      <c r="F238" t="str">
        <f>IF(ISNUMBER(FIND("±", results!C234)), LEFT(results!C234, FIND("±", results!C234) - 1), results!C234)</f>
        <v xml:space="preserve">122.61 </v>
      </c>
      <c r="G238" s="19" t="str">
        <f>IF(ISNUMBER(FIND("±", results!D234)), LEFT(results!D234, FIND("±", results!D234) - 1), results!D234)</f>
        <v xml:space="preserve">5.64 </v>
      </c>
      <c r="H238" s="3" t="str">
        <f>IF(ISNUMBER(FIND("±", results!E234)), LEFT(results!E234, FIND("±", results!E234) - 1), results!E234)</f>
        <v xml:space="preserve">207.59 </v>
      </c>
      <c r="I238" t="str">
        <f>IF(ISNUMBER(FIND("±", results!F234)), LEFT(results!F234, FIND("±", results!F234) - 1), results!F234)</f>
        <v xml:space="preserve">0.00 </v>
      </c>
      <c r="J238" s="6" t="str">
        <f>IF(ISNUMBER(FIND("±", results!G234)), LEFT(results!G234, FIND("±", results!G234) - 1), results!G234)</f>
        <v xml:space="preserve">10.95 </v>
      </c>
      <c r="K238" t="str">
        <f>IF(ISNUMBER(FIND("±", results!H234)), LEFT(results!H234, FIND("±", results!H234) - 1), results!H234)</f>
        <v xml:space="preserve">197.41 </v>
      </c>
      <c r="L238" t="str">
        <f>IF(ISNUMBER(FIND("±", results!I234)), LEFT(results!I234, FIND("±", results!I234) - 1), results!I234)</f>
        <v xml:space="preserve">112.73 </v>
      </c>
      <c r="M238" t="str">
        <f>IF(ISNUMBER(FIND("±", results!J234)), LEFT(results!J234, FIND("±", results!J234) - 1), results!J234)</f>
        <v xml:space="preserve">8.27 </v>
      </c>
      <c r="N238" s="3" t="str">
        <f>IF(ISNUMBER(FIND("±", results!K234)), LEFT(results!K234, FIND("±", results!K234) - 1), results!K234)</f>
        <v xml:space="preserve">182.61 </v>
      </c>
      <c r="O238" t="str">
        <f>IF(ISNUMBER(FIND("±", results!L234)), LEFT(results!L234, FIND("±", results!L234) - 1), results!L234)</f>
        <v xml:space="preserve">106.35 </v>
      </c>
      <c r="P238" s="6" t="str">
        <f>IF(ISNUMBER(FIND("±", results!M234)), LEFT(results!M234, FIND("±", results!M234) - 1), results!M234)</f>
        <v xml:space="preserve">8.88 </v>
      </c>
    </row>
    <row r="239" spans="4:16" ht="15.75" thickBot="1" x14ac:dyDescent="0.3">
      <c r="D239" s="4" t="s">
        <v>1569</v>
      </c>
      <c r="E239" s="3"/>
      <c r="H239" s="3"/>
      <c r="J239" s="6"/>
      <c r="N239" s="3"/>
      <c r="P239" s="6"/>
    </row>
    <row r="240" spans="4:16" x14ac:dyDescent="0.25">
      <c r="D240" s="3" t="s">
        <v>1570</v>
      </c>
      <c r="E240" s="26" t="str">
        <f>IF(ISNUMBER(FIND("±", results!B236)), LEFT(results!B236, FIND("±", results!B236) - 1), results!B236)</f>
        <v xml:space="preserve">110.70 </v>
      </c>
      <c r="F240" s="14" t="str">
        <f>IF(ISNUMBER(FIND("±", results!C236)), LEFT(results!C236, FIND("±", results!C236) - 1), results!C236)</f>
        <v xml:space="preserve">44.68 </v>
      </c>
      <c r="G240" s="21" t="str">
        <f>IF(ISNUMBER(FIND("±", results!D236)), LEFT(results!D236, FIND("±", results!D236) - 1), results!D236)</f>
        <v xml:space="preserve">9.75 </v>
      </c>
      <c r="H240" s="2" t="str">
        <f>IF(ISNUMBER(FIND("±", results!E236)), LEFT(results!E236, FIND("±", results!E236) - 1), results!E236)</f>
        <v xml:space="preserve">111.70 </v>
      </c>
      <c r="I240" s="14" t="str">
        <f>IF(ISNUMBER(FIND("±", results!F236)), LEFT(results!F236, FIND("±", results!F236) - 1), results!F236)</f>
        <v xml:space="preserve">0.00 </v>
      </c>
      <c r="J240" s="5" t="str">
        <f>IF(ISNUMBER(FIND("±", results!G236)), LEFT(results!G236, FIND("±", results!G236) - 1), results!G236)</f>
        <v xml:space="preserve">10.49 </v>
      </c>
      <c r="K240" s="14" t="str">
        <f>IF(ISNUMBER(FIND("±", results!H236)), LEFT(results!H236, FIND("±", results!H236) - 1), results!H236)</f>
        <v xml:space="preserve">191.50 </v>
      </c>
      <c r="L240" s="14" t="str">
        <f>IF(ISNUMBER(FIND("±", results!I236)), LEFT(results!I236, FIND("±", results!I236) - 1), results!I236)</f>
        <v xml:space="preserve">56.44 </v>
      </c>
      <c r="M240" s="14" t="str">
        <f>IF(ISNUMBER(FIND("±", results!J236)), LEFT(results!J236, FIND("±", results!J236) - 1), results!J236)</f>
        <v xml:space="preserve">15.37 </v>
      </c>
      <c r="N240" s="2" t="str">
        <f>IF(ISNUMBER(FIND("±", results!K236)), LEFT(results!K236, FIND("±", results!K236) - 1), results!K236)</f>
        <v xml:space="preserve">191.52 </v>
      </c>
      <c r="O240" s="14" t="str">
        <f>IF(ISNUMBER(FIND("±", results!L236)), LEFT(results!L236, FIND("±", results!L236) - 1), results!L236)</f>
        <v xml:space="preserve">56.44 </v>
      </c>
      <c r="P240" s="5" t="str">
        <f>IF(ISNUMBER(FIND("±", results!M236)), LEFT(results!M236, FIND("±", results!M236) - 1), results!M236)</f>
        <v xml:space="preserve">18.11 </v>
      </c>
    </row>
    <row r="241" spans="4:16" ht="15.75" thickBot="1" x14ac:dyDescent="0.3">
      <c r="D241" s="4" t="s">
        <v>1571</v>
      </c>
      <c r="E241" s="30" t="str">
        <f>IF(ISNUMBER(FIND("±", results!B237)), LEFT(results!B237, FIND("±", results!B237) - 1), results!B237)</f>
        <v xml:space="preserve">124.80 </v>
      </c>
      <c r="F241" s="15" t="str">
        <f>IF(ISNUMBER(FIND("±", results!C237)), LEFT(results!C237, FIND("±", results!C237) - 1), results!C237)</f>
        <v xml:space="preserve">54.04 </v>
      </c>
      <c r="G241" s="23" t="str">
        <f>IF(ISNUMBER(FIND("±", results!D237)), LEFT(results!D237, FIND("±", results!D237) - 1), results!D237)</f>
        <v xml:space="preserve">51.72 </v>
      </c>
      <c r="H241" s="4" t="str">
        <f>IF(ISNUMBER(FIND("±", results!E237)), LEFT(results!E237, FIND("±", results!E237) - 1), results!E237)</f>
        <v xml:space="preserve">125.80 </v>
      </c>
      <c r="I241" s="15" t="str">
        <f>IF(ISNUMBER(FIND("±", results!F237)), LEFT(results!F237, FIND("±", results!F237) - 1), results!F237)</f>
        <v xml:space="preserve">0.00 </v>
      </c>
      <c r="J241" s="7" t="str">
        <f>IF(ISNUMBER(FIND("±", results!G237)), LEFT(results!G237, FIND("±", results!G237) - 1), results!G237)</f>
        <v xml:space="preserve">52.64 </v>
      </c>
      <c r="K241" s="15" t="str">
        <f>IF(ISNUMBER(FIND("±", results!H237)), LEFT(results!H237, FIND("±", results!H237) - 1), results!H237)</f>
        <v xml:space="preserve">398.60 </v>
      </c>
      <c r="L241" s="15" t="str">
        <f>IF(ISNUMBER(FIND("±", results!I237)), LEFT(results!I237, FIND("±", results!I237) - 1), results!I237)</f>
        <v xml:space="preserve">125.24 </v>
      </c>
      <c r="M241" s="15" t="str">
        <f>IF(ISNUMBER(FIND("±", results!J237)), LEFT(results!J237, FIND("±", results!J237) - 1), results!J237)</f>
        <v xml:space="preserve">168.31 </v>
      </c>
      <c r="N241" s="4" t="str">
        <f>IF(ISNUMBER(FIND("±", results!K237)), LEFT(results!K237, FIND("±", results!K237) - 1), results!K237)</f>
        <v xml:space="preserve">398.60 </v>
      </c>
      <c r="O241" s="15" t="str">
        <f>IF(ISNUMBER(FIND("±", results!L237)), LEFT(results!L237, FIND("±", results!L237) - 1), results!L237)</f>
        <v xml:space="preserve">125.24 </v>
      </c>
      <c r="P241" s="7" t="str">
        <f>IF(ISNUMBER(FIND("±", results!M237)), LEFT(results!M237, FIND("±", results!M237) - 1), results!M237)</f>
        <v xml:space="preserve">200.23 </v>
      </c>
    </row>
    <row r="261" spans="15:20" x14ac:dyDescent="0.25">
      <c r="O261" s="168" t="s">
        <v>2093</v>
      </c>
      <c r="P261" s="163" t="s">
        <v>2094</v>
      </c>
      <c r="Q261" s="168" t="s">
        <v>1988</v>
      </c>
      <c r="R261" s="163" t="s">
        <v>1989</v>
      </c>
      <c r="S261" s="32" t="s">
        <v>1990</v>
      </c>
      <c r="T261" s="166" t="s">
        <v>1991</v>
      </c>
    </row>
  </sheetData>
  <mergeCells count="86">
    <mergeCell ref="Q210:R210"/>
    <mergeCell ref="D25:T25"/>
    <mergeCell ref="D102:D103"/>
    <mergeCell ref="D120:D121"/>
    <mergeCell ref="D119:T119"/>
    <mergeCell ref="E120:H120"/>
    <mergeCell ref="D64:D65"/>
    <mergeCell ref="D82:D83"/>
    <mergeCell ref="E64:H64"/>
    <mergeCell ref="I64:L64"/>
    <mergeCell ref="D46:D47"/>
    <mergeCell ref="D26:D27"/>
    <mergeCell ref="E26:H26"/>
    <mergeCell ref="I26:L26"/>
    <mergeCell ref="M26:P26"/>
    <mergeCell ref="M102:P102"/>
    <mergeCell ref="AE26:AH26"/>
    <mergeCell ref="AI26:AL26"/>
    <mergeCell ref="M64:P64"/>
    <mergeCell ref="D81:L81"/>
    <mergeCell ref="E82:H82"/>
    <mergeCell ref="I82:L82"/>
    <mergeCell ref="Q26:T26"/>
    <mergeCell ref="D45:P45"/>
    <mergeCell ref="E46:H46"/>
    <mergeCell ref="I46:L46"/>
    <mergeCell ref="M46:P46"/>
    <mergeCell ref="Q156:S156"/>
    <mergeCell ref="T156:V156"/>
    <mergeCell ref="I102:L102"/>
    <mergeCell ref="D138:D139"/>
    <mergeCell ref="D63:P63"/>
    <mergeCell ref="I120:L120"/>
    <mergeCell ref="M120:P120"/>
    <mergeCell ref="Q120:T120"/>
    <mergeCell ref="D101:T101"/>
    <mergeCell ref="E102:H102"/>
    <mergeCell ref="Q102:T102"/>
    <mergeCell ref="D173:P173"/>
    <mergeCell ref="E156:G156"/>
    <mergeCell ref="H156:J156"/>
    <mergeCell ref="K156:M156"/>
    <mergeCell ref="N156:P156"/>
    <mergeCell ref="N192:P192"/>
    <mergeCell ref="D174:D175"/>
    <mergeCell ref="E174:G174"/>
    <mergeCell ref="H174:J174"/>
    <mergeCell ref="K174:M174"/>
    <mergeCell ref="N174:P174"/>
    <mergeCell ref="D5:M5"/>
    <mergeCell ref="E6:G6"/>
    <mergeCell ref="H6:J6"/>
    <mergeCell ref="K6:M6"/>
    <mergeCell ref="D155:V155"/>
    <mergeCell ref="D137:V137"/>
    <mergeCell ref="E138:G138"/>
    <mergeCell ref="H138:J138"/>
    <mergeCell ref="K138:M138"/>
    <mergeCell ref="N138:P138"/>
    <mergeCell ref="Q138:S138"/>
    <mergeCell ref="T138:V138"/>
    <mergeCell ref="V25:AL25"/>
    <mergeCell ref="V26:V27"/>
    <mergeCell ref="W26:Z26"/>
    <mergeCell ref="AA26:AD26"/>
    <mergeCell ref="U172:W172"/>
    <mergeCell ref="D227:P227"/>
    <mergeCell ref="E228:G228"/>
    <mergeCell ref="H228:J228"/>
    <mergeCell ref="K228:M228"/>
    <mergeCell ref="N228:P228"/>
    <mergeCell ref="D209:P209"/>
    <mergeCell ref="E210:G210"/>
    <mergeCell ref="H210:J210"/>
    <mergeCell ref="K210:M210"/>
    <mergeCell ref="N210:P210"/>
    <mergeCell ref="D192:D193"/>
    <mergeCell ref="D191:P191"/>
    <mergeCell ref="E192:G192"/>
    <mergeCell ref="H192:J192"/>
    <mergeCell ref="K192:M192"/>
    <mergeCell ref="X172:Y172"/>
    <mergeCell ref="Z172:AA172"/>
    <mergeCell ref="AB172:AC172"/>
    <mergeCell ref="AD172:AE172"/>
    <mergeCell ref="AF172:AG17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57BD-437F-4BEF-8E99-201E33452C02}">
  <dimension ref="A4:AI237"/>
  <sheetViews>
    <sheetView tabSelected="1" topLeftCell="A132" zoomScale="80" zoomScaleNormal="80" workbookViewId="0">
      <selection activeCell="H119" sqref="H119"/>
    </sheetView>
  </sheetViews>
  <sheetFormatPr defaultRowHeight="15" x14ac:dyDescent="0.25"/>
  <cols>
    <col min="1" max="1" width="14.5703125" bestFit="1" customWidth="1"/>
    <col min="2" max="2" width="14.140625" bestFit="1" customWidth="1"/>
    <col min="3" max="3" width="14.140625" customWidth="1"/>
    <col min="4" max="4" width="11.140625" bestFit="1" customWidth="1"/>
    <col min="5" max="5" width="10.140625" bestFit="1" customWidth="1"/>
    <col min="6" max="6" width="14.140625" bestFit="1" customWidth="1"/>
    <col min="8" max="8" width="14.5703125" bestFit="1" customWidth="1"/>
    <col min="9" max="9" width="10.140625" bestFit="1" customWidth="1"/>
    <col min="10" max="10" width="14.140625" bestFit="1" customWidth="1"/>
    <col min="11" max="11" width="14.140625" customWidth="1"/>
    <col min="13" max="13" width="10.140625" bestFit="1" customWidth="1"/>
    <col min="14" max="14" width="14.140625" bestFit="1" customWidth="1"/>
    <col min="16" max="16" width="14.5703125" bestFit="1" customWidth="1"/>
    <col min="17" max="17" width="10.140625" bestFit="1" customWidth="1"/>
    <col min="18" max="18" width="10" bestFit="1" customWidth="1"/>
    <col min="19" max="19" width="15" bestFit="1" customWidth="1"/>
  </cols>
  <sheetData>
    <row r="4" spans="1:26" ht="15.75" thickBot="1" x14ac:dyDescent="0.3"/>
    <row r="5" spans="1:26" ht="15.75" thickBot="1" x14ac:dyDescent="0.3">
      <c r="A5" s="217" t="s">
        <v>30</v>
      </c>
      <c r="B5" s="218"/>
      <c r="C5" s="218"/>
      <c r="D5" s="218"/>
      <c r="E5" s="218"/>
      <c r="F5" s="218"/>
      <c r="G5" s="218"/>
      <c r="H5" s="218"/>
      <c r="I5" s="218"/>
      <c r="J5" s="219"/>
      <c r="K5" s="16"/>
      <c r="L5" s="16"/>
      <c r="M5" s="16"/>
      <c r="Q5" s="217" t="s">
        <v>30</v>
      </c>
      <c r="R5" s="218"/>
      <c r="S5" s="218"/>
      <c r="T5" s="218"/>
      <c r="U5" s="218"/>
      <c r="V5" s="218"/>
      <c r="W5" s="218"/>
      <c r="X5" s="218"/>
      <c r="Y5" s="218"/>
      <c r="Z5" s="219"/>
    </row>
    <row r="6" spans="1:26" x14ac:dyDescent="0.25">
      <c r="A6" s="211" t="s">
        <v>31</v>
      </c>
      <c r="B6" s="220" t="s">
        <v>46</v>
      </c>
      <c r="C6" s="221"/>
      <c r="D6" s="221"/>
      <c r="E6" s="214" t="s">
        <v>34</v>
      </c>
      <c r="F6" s="216"/>
      <c r="G6" s="215"/>
      <c r="H6" s="214" t="s">
        <v>32</v>
      </c>
      <c r="I6" s="216"/>
      <c r="J6" s="215"/>
      <c r="K6" s="16"/>
      <c r="L6" s="16"/>
      <c r="M6" s="16"/>
      <c r="Q6" s="228" t="s">
        <v>31</v>
      </c>
      <c r="R6" s="220" t="s">
        <v>46</v>
      </c>
      <c r="S6" s="221"/>
      <c r="T6" s="221"/>
      <c r="U6" s="214" t="s">
        <v>34</v>
      </c>
      <c r="V6" s="216"/>
      <c r="W6" s="215"/>
      <c r="X6" s="214" t="s">
        <v>32</v>
      </c>
      <c r="Y6" s="216"/>
      <c r="Z6" s="215"/>
    </row>
    <row r="7" spans="1:26" ht="15.75" thickBot="1" x14ac:dyDescent="0.3">
      <c r="A7" s="212"/>
      <c r="B7" s="4" t="s">
        <v>47</v>
      </c>
      <c r="C7" s="15" t="s">
        <v>415</v>
      </c>
      <c r="D7" s="15" t="s">
        <v>48</v>
      </c>
      <c r="E7" s="4" t="s">
        <v>47</v>
      </c>
      <c r="F7" s="15" t="s">
        <v>415</v>
      </c>
      <c r="G7" s="7" t="s">
        <v>48</v>
      </c>
      <c r="H7" s="3" t="s">
        <v>47</v>
      </c>
      <c r="I7" t="s">
        <v>415</v>
      </c>
      <c r="J7" s="6" t="s">
        <v>48</v>
      </c>
      <c r="K7" s="16"/>
      <c r="L7" s="16"/>
      <c r="M7" s="16"/>
      <c r="Q7" s="229"/>
      <c r="R7" s="4" t="s">
        <v>47</v>
      </c>
      <c r="S7" s="15" t="s">
        <v>415</v>
      </c>
      <c r="T7" s="15" t="s">
        <v>48</v>
      </c>
      <c r="U7" s="4" t="s">
        <v>47</v>
      </c>
      <c r="V7" s="15" t="s">
        <v>415</v>
      </c>
      <c r="W7" s="7" t="s">
        <v>48</v>
      </c>
      <c r="X7" s="4" t="s">
        <v>47</v>
      </c>
      <c r="Y7" s="15" t="s">
        <v>415</v>
      </c>
      <c r="Z7" s="7" t="s">
        <v>48</v>
      </c>
    </row>
    <row r="8" spans="1:26" x14ac:dyDescent="0.25">
      <c r="A8" s="138" t="s">
        <v>35</v>
      </c>
      <c r="B8" s="77" t="s">
        <v>1650</v>
      </c>
      <c r="C8" s="72" t="s">
        <v>1654</v>
      </c>
      <c r="D8" s="118" t="s">
        <v>1652</v>
      </c>
      <c r="E8" s="16" t="s">
        <v>1651</v>
      </c>
      <c r="F8" s="16" t="s">
        <v>423</v>
      </c>
      <c r="G8" s="16" t="s">
        <v>1653</v>
      </c>
      <c r="H8" s="77" t="s">
        <v>1649</v>
      </c>
      <c r="I8" s="72" t="s">
        <v>776</v>
      </c>
      <c r="J8" s="118" t="s">
        <v>526</v>
      </c>
      <c r="Q8" s="138" t="s">
        <v>35</v>
      </c>
      <c r="R8" s="139" t="s">
        <v>427</v>
      </c>
      <c r="S8" s="178" t="s">
        <v>432</v>
      </c>
      <c r="T8" s="178" t="s">
        <v>430</v>
      </c>
      <c r="U8" s="139" t="s">
        <v>426</v>
      </c>
      <c r="V8" s="178" t="s">
        <v>423</v>
      </c>
      <c r="W8" s="203" t="s">
        <v>429</v>
      </c>
      <c r="X8" s="195" t="s">
        <v>425</v>
      </c>
      <c r="Y8" s="179" t="s">
        <v>431</v>
      </c>
      <c r="Z8" s="180" t="s">
        <v>428</v>
      </c>
    </row>
    <row r="9" spans="1:26" x14ac:dyDescent="0.25">
      <c r="A9" s="140" t="s">
        <v>36</v>
      </c>
      <c r="B9" s="68" t="s">
        <v>1656</v>
      </c>
      <c r="C9" s="16" t="s">
        <v>1662</v>
      </c>
      <c r="D9" s="76" t="s">
        <v>1659</v>
      </c>
      <c r="E9" s="16" t="s">
        <v>1657</v>
      </c>
      <c r="F9" s="16" t="s">
        <v>423</v>
      </c>
      <c r="G9" s="16" t="s">
        <v>1660</v>
      </c>
      <c r="H9" s="68" t="s">
        <v>1655</v>
      </c>
      <c r="I9" s="16" t="s">
        <v>1661</v>
      </c>
      <c r="J9" s="76" t="s">
        <v>1658</v>
      </c>
      <c r="Q9" s="140" t="s">
        <v>36</v>
      </c>
      <c r="R9" s="141" t="s">
        <v>435</v>
      </c>
      <c r="S9" s="179" t="s">
        <v>438</v>
      </c>
      <c r="T9" s="179" t="s">
        <v>436</v>
      </c>
      <c r="U9" s="141" t="s">
        <v>434</v>
      </c>
      <c r="V9" s="179" t="s">
        <v>423</v>
      </c>
      <c r="W9" s="182" t="s">
        <v>437</v>
      </c>
      <c r="X9" s="195" t="s">
        <v>433</v>
      </c>
      <c r="Y9" s="179" t="s">
        <v>439</v>
      </c>
      <c r="Z9" s="180" t="s">
        <v>440</v>
      </c>
    </row>
    <row r="10" spans="1:26" ht="15.75" thickBot="1" x14ac:dyDescent="0.3">
      <c r="A10" s="142" t="s">
        <v>37</v>
      </c>
      <c r="B10" s="68" t="s">
        <v>1664</v>
      </c>
      <c r="C10" s="16" t="s">
        <v>1670</v>
      </c>
      <c r="D10" s="76" t="s">
        <v>1667</v>
      </c>
      <c r="E10" s="16" t="s">
        <v>1665</v>
      </c>
      <c r="F10" s="16" t="s">
        <v>423</v>
      </c>
      <c r="G10" s="16" t="s">
        <v>1668</v>
      </c>
      <c r="H10" s="68" t="s">
        <v>1663</v>
      </c>
      <c r="I10" s="16" t="s">
        <v>1669</v>
      </c>
      <c r="J10" s="76" t="s">
        <v>1666</v>
      </c>
      <c r="Q10" s="142" t="s">
        <v>37</v>
      </c>
      <c r="R10" s="141" t="s">
        <v>457</v>
      </c>
      <c r="S10" s="178" t="s">
        <v>464</v>
      </c>
      <c r="T10" s="181" t="s">
        <v>462</v>
      </c>
      <c r="U10" s="139" t="s">
        <v>458</v>
      </c>
      <c r="V10" s="178" t="s">
        <v>423</v>
      </c>
      <c r="W10" s="203" t="s">
        <v>461</v>
      </c>
      <c r="X10" s="196" t="s">
        <v>459</v>
      </c>
      <c r="Y10" s="179" t="s">
        <v>463</v>
      </c>
      <c r="Z10" s="182" t="s">
        <v>460</v>
      </c>
    </row>
    <row r="11" spans="1:26" x14ac:dyDescent="0.25">
      <c r="A11" s="149" t="s">
        <v>38</v>
      </c>
      <c r="B11" s="77" t="s">
        <v>1672</v>
      </c>
      <c r="C11" s="72" t="s">
        <v>1678</v>
      </c>
      <c r="D11" s="118" t="s">
        <v>1675</v>
      </c>
      <c r="E11" s="72" t="s">
        <v>1673</v>
      </c>
      <c r="F11" s="72" t="s">
        <v>423</v>
      </c>
      <c r="G11" s="72" t="s">
        <v>1676</v>
      </c>
      <c r="H11" s="77" t="s">
        <v>1671</v>
      </c>
      <c r="I11" s="72" t="s">
        <v>1677</v>
      </c>
      <c r="J11" s="118" t="s">
        <v>1674</v>
      </c>
      <c r="Q11" s="149" t="s">
        <v>38</v>
      </c>
      <c r="R11" s="150" t="s">
        <v>483</v>
      </c>
      <c r="S11" s="151" t="s">
        <v>488</v>
      </c>
      <c r="T11" s="151" t="s">
        <v>486</v>
      </c>
      <c r="U11" s="150" t="s">
        <v>482</v>
      </c>
      <c r="V11" s="152" t="s">
        <v>423</v>
      </c>
      <c r="W11" s="204" t="s">
        <v>485</v>
      </c>
      <c r="X11" s="197" t="s">
        <v>481</v>
      </c>
      <c r="Y11" s="152" t="s">
        <v>487</v>
      </c>
      <c r="Z11" s="183" t="s">
        <v>484</v>
      </c>
    </row>
    <row r="12" spans="1:26" x14ac:dyDescent="0.25">
      <c r="A12" s="149" t="s">
        <v>39</v>
      </c>
      <c r="B12" s="68" t="s">
        <v>1680</v>
      </c>
      <c r="C12" s="16" t="s">
        <v>1686</v>
      </c>
      <c r="D12" s="76" t="s">
        <v>1683</v>
      </c>
      <c r="E12" s="16" t="s">
        <v>1681</v>
      </c>
      <c r="F12" s="16" t="s">
        <v>423</v>
      </c>
      <c r="G12" s="16" t="s">
        <v>1684</v>
      </c>
      <c r="H12" s="68" t="s">
        <v>1679</v>
      </c>
      <c r="I12" s="16" t="s">
        <v>1685</v>
      </c>
      <c r="J12" s="76" t="s">
        <v>1682</v>
      </c>
      <c r="Q12" s="149" t="s">
        <v>39</v>
      </c>
      <c r="R12" s="153" t="s">
        <v>490</v>
      </c>
      <c r="S12" s="184" t="s">
        <v>496</v>
      </c>
      <c r="T12" s="185" t="s">
        <v>494</v>
      </c>
      <c r="U12" s="154" t="s">
        <v>491</v>
      </c>
      <c r="V12" s="184" t="s">
        <v>423</v>
      </c>
      <c r="W12" s="205" t="s">
        <v>493</v>
      </c>
      <c r="X12" s="198" t="s">
        <v>489</v>
      </c>
      <c r="Y12" s="186" t="s">
        <v>495</v>
      </c>
      <c r="Z12" s="187" t="s">
        <v>492</v>
      </c>
    </row>
    <row r="13" spans="1:26" ht="15.75" thickBot="1" x14ac:dyDescent="0.3">
      <c r="A13" s="155" t="s">
        <v>40</v>
      </c>
      <c r="B13" s="73" t="s">
        <v>1688</v>
      </c>
      <c r="C13" s="70" t="s">
        <v>1694</v>
      </c>
      <c r="D13" s="119" t="s">
        <v>1691</v>
      </c>
      <c r="E13" s="70" t="s">
        <v>1689</v>
      </c>
      <c r="F13" s="70" t="s">
        <v>423</v>
      </c>
      <c r="G13" s="70" t="s">
        <v>1692</v>
      </c>
      <c r="H13" s="73" t="s">
        <v>1687</v>
      </c>
      <c r="I13" s="70" t="s">
        <v>1693</v>
      </c>
      <c r="J13" s="119" t="s">
        <v>1690</v>
      </c>
      <c r="Q13" s="155" t="s">
        <v>40</v>
      </c>
      <c r="R13" s="156" t="s">
        <v>507</v>
      </c>
      <c r="S13" s="157" t="s">
        <v>512</v>
      </c>
      <c r="T13" s="158" t="s">
        <v>510</v>
      </c>
      <c r="U13" s="159" t="s">
        <v>506</v>
      </c>
      <c r="V13" s="160" t="s">
        <v>423</v>
      </c>
      <c r="W13" s="206" t="s">
        <v>509</v>
      </c>
      <c r="X13" s="159" t="s">
        <v>505</v>
      </c>
      <c r="Y13" s="160" t="s">
        <v>511</v>
      </c>
      <c r="Z13" s="188" t="s">
        <v>508</v>
      </c>
    </row>
    <row r="14" spans="1:26" x14ac:dyDescent="0.25">
      <c r="A14" s="128" t="s">
        <v>11</v>
      </c>
      <c r="B14" s="68" t="s">
        <v>1696</v>
      </c>
      <c r="C14" s="16" t="s">
        <v>1702</v>
      </c>
      <c r="D14" s="76" t="s">
        <v>1699</v>
      </c>
      <c r="E14" s="16" t="s">
        <v>1697</v>
      </c>
      <c r="F14" s="16" t="s">
        <v>423</v>
      </c>
      <c r="G14" s="16" t="s">
        <v>1700</v>
      </c>
      <c r="H14" s="68" t="s">
        <v>1695</v>
      </c>
      <c r="I14" s="16" t="s">
        <v>1701</v>
      </c>
      <c r="J14" s="76" t="s">
        <v>1698</v>
      </c>
      <c r="Q14" s="149"/>
      <c r="R14" s="236"/>
      <c r="S14" s="237"/>
      <c r="T14" s="238"/>
      <c r="U14" s="198"/>
      <c r="V14" s="239"/>
      <c r="W14" s="205"/>
      <c r="X14" s="198"/>
      <c r="Y14" s="239"/>
      <c r="Z14" s="187"/>
    </row>
    <row r="15" spans="1:26" ht="15.75" thickBot="1" x14ac:dyDescent="0.3">
      <c r="A15" s="128" t="s">
        <v>2233</v>
      </c>
      <c r="B15" s="68"/>
      <c r="C15" s="16"/>
      <c r="D15" s="76"/>
      <c r="E15" s="16"/>
      <c r="F15" s="16"/>
      <c r="G15" s="16"/>
      <c r="H15" s="68"/>
      <c r="I15" s="16"/>
      <c r="J15" s="76"/>
      <c r="Q15" s="128" t="s">
        <v>11</v>
      </c>
      <c r="R15" s="134" t="s">
        <v>467</v>
      </c>
      <c r="S15" s="189" t="s">
        <v>472</v>
      </c>
      <c r="T15" s="189" t="s">
        <v>470</v>
      </c>
      <c r="U15" s="134" t="s">
        <v>466</v>
      </c>
      <c r="V15" s="189" t="s">
        <v>423</v>
      </c>
      <c r="W15" s="207" t="s">
        <v>469</v>
      </c>
      <c r="X15" s="199" t="s">
        <v>465</v>
      </c>
      <c r="Y15" s="190" t="s">
        <v>471</v>
      </c>
      <c r="Z15" s="191" t="s">
        <v>468</v>
      </c>
    </row>
    <row r="16" spans="1:26" ht="15.75" thickBot="1" x14ac:dyDescent="0.3">
      <c r="A16" s="127" t="s">
        <v>8</v>
      </c>
      <c r="B16" s="74" t="s">
        <v>1704</v>
      </c>
      <c r="C16" s="75" t="s">
        <v>1710</v>
      </c>
      <c r="D16" s="120" t="s">
        <v>1707</v>
      </c>
      <c r="E16" s="75" t="s">
        <v>1705</v>
      </c>
      <c r="F16" s="75" t="s">
        <v>423</v>
      </c>
      <c r="G16" s="75" t="s">
        <v>1708</v>
      </c>
      <c r="H16" s="74" t="s">
        <v>1703</v>
      </c>
      <c r="I16" s="75" t="s">
        <v>1709</v>
      </c>
      <c r="J16" s="120" t="s">
        <v>1706</v>
      </c>
      <c r="Q16" s="127" t="s">
        <v>8</v>
      </c>
      <c r="R16" s="135" t="s">
        <v>418</v>
      </c>
      <c r="S16" s="136" t="s">
        <v>422</v>
      </c>
      <c r="T16" s="136" t="s">
        <v>421</v>
      </c>
      <c r="U16" s="137" t="s">
        <v>417</v>
      </c>
      <c r="V16" s="136" t="s">
        <v>423</v>
      </c>
      <c r="W16" s="208" t="s">
        <v>420</v>
      </c>
      <c r="X16" s="200" t="s">
        <v>416</v>
      </c>
      <c r="Y16" s="136" t="s">
        <v>424</v>
      </c>
      <c r="Z16" s="192" t="s">
        <v>419</v>
      </c>
    </row>
    <row r="17" spans="1:35" ht="15.75" thickBot="1" x14ac:dyDescent="0.3">
      <c r="A17" s="127" t="s">
        <v>2234</v>
      </c>
      <c r="B17" s="74"/>
      <c r="C17" s="75"/>
      <c r="D17" s="120"/>
      <c r="E17" s="75"/>
      <c r="F17" s="75"/>
      <c r="G17" s="75"/>
      <c r="H17" s="74"/>
      <c r="I17" s="75"/>
      <c r="J17" s="120"/>
      <c r="Q17" s="126"/>
      <c r="R17" s="240"/>
      <c r="S17" s="241"/>
      <c r="T17" s="241"/>
      <c r="U17" s="134"/>
      <c r="V17" s="241"/>
      <c r="W17" s="242"/>
      <c r="X17" s="199"/>
      <c r="Y17" s="241"/>
      <c r="Z17" s="191"/>
    </row>
    <row r="18" spans="1:35" x14ac:dyDescent="0.25">
      <c r="A18" s="126" t="s">
        <v>4</v>
      </c>
      <c r="B18" s="68" t="s">
        <v>1712</v>
      </c>
      <c r="C18" s="16" t="s">
        <v>1718</v>
      </c>
      <c r="D18" s="76" t="s">
        <v>1715</v>
      </c>
      <c r="E18" s="16" t="s">
        <v>1713</v>
      </c>
      <c r="F18" s="16" t="s">
        <v>423</v>
      </c>
      <c r="G18" s="16" t="s">
        <v>1716</v>
      </c>
      <c r="H18" s="68" t="s">
        <v>1711</v>
      </c>
      <c r="I18" s="16" t="s">
        <v>1717</v>
      </c>
      <c r="J18" s="76" t="s">
        <v>1714</v>
      </c>
      <c r="Q18" s="126" t="s">
        <v>4</v>
      </c>
      <c r="R18" s="134" t="s">
        <v>443</v>
      </c>
      <c r="S18" s="189" t="s">
        <v>448</v>
      </c>
      <c r="T18" s="189" t="s">
        <v>446</v>
      </c>
      <c r="U18" s="134" t="s">
        <v>442</v>
      </c>
      <c r="V18" s="189" t="s">
        <v>423</v>
      </c>
      <c r="W18" s="207" t="s">
        <v>445</v>
      </c>
      <c r="X18" s="199" t="s">
        <v>441</v>
      </c>
      <c r="Y18" s="190" t="s">
        <v>447</v>
      </c>
      <c r="Z18" s="191" t="s">
        <v>444</v>
      </c>
    </row>
    <row r="19" spans="1:35" ht="15.75" thickBot="1" x14ac:dyDescent="0.3">
      <c r="A19" s="129" t="s">
        <v>5</v>
      </c>
      <c r="B19" s="68" t="s">
        <v>1720</v>
      </c>
      <c r="C19" s="16" t="s">
        <v>1726</v>
      </c>
      <c r="D19" s="76" t="s">
        <v>1723</v>
      </c>
      <c r="E19" s="16" t="s">
        <v>1721</v>
      </c>
      <c r="F19" s="16" t="s">
        <v>423</v>
      </c>
      <c r="G19" s="16" t="s">
        <v>1724</v>
      </c>
      <c r="H19" s="68" t="s">
        <v>1719</v>
      </c>
      <c r="I19" s="16" t="s">
        <v>1725</v>
      </c>
      <c r="J19" s="76" t="s">
        <v>1722</v>
      </c>
      <c r="Q19" s="129" t="s">
        <v>5</v>
      </c>
      <c r="R19" s="134" t="s">
        <v>499</v>
      </c>
      <c r="S19" s="189" t="s">
        <v>504</v>
      </c>
      <c r="T19" s="189" t="s">
        <v>502</v>
      </c>
      <c r="U19" s="134" t="s">
        <v>498</v>
      </c>
      <c r="V19" s="190" t="s">
        <v>423</v>
      </c>
      <c r="W19" s="207" t="s">
        <v>501</v>
      </c>
      <c r="X19" s="199" t="s">
        <v>497</v>
      </c>
      <c r="Y19" s="190" t="s">
        <v>503</v>
      </c>
      <c r="Z19" s="191" t="s">
        <v>500</v>
      </c>
    </row>
    <row r="20" spans="1:35" x14ac:dyDescent="0.25">
      <c r="A20" s="138" t="s">
        <v>13</v>
      </c>
      <c r="B20" s="77" t="s">
        <v>1728</v>
      </c>
      <c r="C20" s="72" t="s">
        <v>1734</v>
      </c>
      <c r="D20" s="118" t="s">
        <v>1731</v>
      </c>
      <c r="E20" s="72" t="s">
        <v>1729</v>
      </c>
      <c r="F20" s="72" t="s">
        <v>423</v>
      </c>
      <c r="G20" s="72" t="s">
        <v>1732</v>
      </c>
      <c r="H20" s="77" t="s">
        <v>1727</v>
      </c>
      <c r="I20" s="72" t="s">
        <v>1733</v>
      </c>
      <c r="J20" s="118" t="s">
        <v>1730</v>
      </c>
      <c r="Q20" s="138" t="s">
        <v>13</v>
      </c>
      <c r="R20" s="143" t="s">
        <v>451</v>
      </c>
      <c r="S20" s="144" t="s">
        <v>456</v>
      </c>
      <c r="T20" s="145" t="s">
        <v>453</v>
      </c>
      <c r="U20" s="143" t="s">
        <v>450</v>
      </c>
      <c r="V20" s="144" t="s">
        <v>423</v>
      </c>
      <c r="W20" s="209" t="s">
        <v>454</v>
      </c>
      <c r="X20" s="201" t="s">
        <v>449</v>
      </c>
      <c r="Y20" s="145" t="s">
        <v>455</v>
      </c>
      <c r="Z20" s="193" t="s">
        <v>452</v>
      </c>
    </row>
    <row r="21" spans="1:35" ht="15.75" thickBot="1" x14ac:dyDescent="0.3">
      <c r="A21" s="142" t="s">
        <v>14</v>
      </c>
      <c r="B21" s="73" t="s">
        <v>1736</v>
      </c>
      <c r="C21" s="70" t="s">
        <v>1742</v>
      </c>
      <c r="D21" s="119" t="s">
        <v>1739</v>
      </c>
      <c r="E21" s="70" t="s">
        <v>1737</v>
      </c>
      <c r="F21" s="70" t="s">
        <v>423</v>
      </c>
      <c r="G21" s="70" t="s">
        <v>1740</v>
      </c>
      <c r="H21" s="73" t="s">
        <v>1735</v>
      </c>
      <c r="I21" s="70" t="s">
        <v>1741</v>
      </c>
      <c r="J21" s="119" t="s">
        <v>1738</v>
      </c>
      <c r="Q21" s="142" t="s">
        <v>14</v>
      </c>
      <c r="R21" s="146" t="s">
        <v>475</v>
      </c>
      <c r="S21" s="147" t="s">
        <v>480</v>
      </c>
      <c r="T21" s="147" t="s">
        <v>478</v>
      </c>
      <c r="U21" s="146" t="s">
        <v>474</v>
      </c>
      <c r="V21" s="148" t="s">
        <v>423</v>
      </c>
      <c r="W21" s="210" t="s">
        <v>477</v>
      </c>
      <c r="X21" s="202" t="s">
        <v>473</v>
      </c>
      <c r="Y21" s="148" t="s">
        <v>479</v>
      </c>
      <c r="Z21" s="194" t="s">
        <v>476</v>
      </c>
    </row>
    <row r="23" spans="1:35" ht="14.45" customHeight="1" x14ac:dyDescent="0.25"/>
    <row r="24" spans="1:35" ht="15.75" thickBot="1" x14ac:dyDescent="0.3"/>
    <row r="25" spans="1:35" ht="15.75" thickBot="1" x14ac:dyDescent="0.3">
      <c r="A25" s="217" t="s">
        <v>42</v>
      </c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5"/>
      <c r="S25" s="217" t="s">
        <v>42</v>
      </c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215"/>
    </row>
    <row r="26" spans="1:35" x14ac:dyDescent="0.25">
      <c r="A26" s="222" t="s">
        <v>31</v>
      </c>
      <c r="B26" s="220" t="s">
        <v>46</v>
      </c>
      <c r="C26" s="221"/>
      <c r="D26" s="221"/>
      <c r="E26" s="221"/>
      <c r="F26" s="214" t="s">
        <v>34</v>
      </c>
      <c r="G26" s="216"/>
      <c r="H26" s="216"/>
      <c r="I26" s="215"/>
      <c r="J26" s="216" t="s">
        <v>32</v>
      </c>
      <c r="K26" s="216"/>
      <c r="L26" s="216"/>
      <c r="M26" s="216"/>
      <c r="N26" s="214" t="s">
        <v>41</v>
      </c>
      <c r="O26" s="216"/>
      <c r="P26" s="216"/>
      <c r="Q26" s="215"/>
      <c r="S26" s="222" t="s">
        <v>31</v>
      </c>
      <c r="T26" s="220" t="s">
        <v>46</v>
      </c>
      <c r="U26" s="221"/>
      <c r="V26" s="221"/>
      <c r="W26" s="221"/>
      <c r="X26" s="214" t="s">
        <v>34</v>
      </c>
      <c r="Y26" s="216"/>
      <c r="Z26" s="216"/>
      <c r="AA26" s="215"/>
      <c r="AB26" s="216" t="s">
        <v>32</v>
      </c>
      <c r="AC26" s="216"/>
      <c r="AD26" s="216"/>
      <c r="AE26" s="216"/>
      <c r="AF26" s="214" t="s">
        <v>41</v>
      </c>
      <c r="AG26" s="216"/>
      <c r="AH26" s="216"/>
      <c r="AI26" s="215"/>
    </row>
    <row r="27" spans="1:35" ht="15.75" thickBot="1" x14ac:dyDescent="0.3">
      <c r="A27" s="223"/>
      <c r="B27" s="4" t="s">
        <v>47</v>
      </c>
      <c r="C27" s="15" t="s">
        <v>415</v>
      </c>
      <c r="D27" s="15" t="s">
        <v>48</v>
      </c>
      <c r="E27" s="15" t="s">
        <v>621</v>
      </c>
      <c r="F27" s="4" t="s">
        <v>47</v>
      </c>
      <c r="G27" s="15" t="s">
        <v>415</v>
      </c>
      <c r="H27" s="15" t="s">
        <v>48</v>
      </c>
      <c r="I27" s="7" t="s">
        <v>621</v>
      </c>
      <c r="J27" s="15" t="s">
        <v>47</v>
      </c>
      <c r="K27" s="15" t="s">
        <v>415</v>
      </c>
      <c r="L27" s="15" t="s">
        <v>48</v>
      </c>
      <c r="M27" s="15" t="s">
        <v>621</v>
      </c>
      <c r="N27" s="4" t="s">
        <v>47</v>
      </c>
      <c r="O27" s="15" t="s">
        <v>415</v>
      </c>
      <c r="P27" s="15" t="s">
        <v>48</v>
      </c>
      <c r="Q27" s="7" t="s">
        <v>621</v>
      </c>
      <c r="S27" s="223"/>
      <c r="T27" s="4" t="s">
        <v>47</v>
      </c>
      <c r="U27" s="15" t="s">
        <v>415</v>
      </c>
      <c r="V27" s="15" t="s">
        <v>48</v>
      </c>
      <c r="W27" s="15" t="s">
        <v>621</v>
      </c>
      <c r="X27" s="4" t="s">
        <v>47</v>
      </c>
      <c r="Y27" s="15" t="s">
        <v>415</v>
      </c>
      <c r="Z27" s="15" t="s">
        <v>48</v>
      </c>
      <c r="AA27" s="7" t="s">
        <v>621</v>
      </c>
      <c r="AB27" s="15" t="s">
        <v>47</v>
      </c>
      <c r="AC27" s="15" t="s">
        <v>415</v>
      </c>
      <c r="AD27" s="15" t="s">
        <v>48</v>
      </c>
      <c r="AE27" s="15" t="s">
        <v>621</v>
      </c>
      <c r="AF27" s="4" t="s">
        <v>47</v>
      </c>
      <c r="AG27" s="15" t="s">
        <v>415</v>
      </c>
      <c r="AH27" s="15" t="s">
        <v>48</v>
      </c>
      <c r="AI27" s="7" t="s">
        <v>621</v>
      </c>
    </row>
    <row r="28" spans="1:35" x14ac:dyDescent="0.25">
      <c r="A28" s="126" t="s">
        <v>35</v>
      </c>
      <c r="B28" s="68" t="s">
        <v>522</v>
      </c>
      <c r="C28" s="16" t="s">
        <v>530</v>
      </c>
      <c r="D28" s="16" t="s">
        <v>526</v>
      </c>
      <c r="E28">
        <v>1</v>
      </c>
      <c r="F28" s="68" t="s">
        <v>523</v>
      </c>
      <c r="G28" s="65" t="s">
        <v>423</v>
      </c>
      <c r="H28" s="16" t="s">
        <v>527</v>
      </c>
      <c r="I28" s="6">
        <v>1</v>
      </c>
      <c r="J28" s="16" t="s">
        <v>524</v>
      </c>
      <c r="K28" s="65" t="s">
        <v>423</v>
      </c>
      <c r="L28" s="16" t="s">
        <v>528</v>
      </c>
      <c r="M28">
        <v>1</v>
      </c>
      <c r="N28" s="24" t="s">
        <v>525</v>
      </c>
      <c r="O28" s="65" t="s">
        <v>423</v>
      </c>
      <c r="P28" s="16" t="s">
        <v>529</v>
      </c>
      <c r="Q28" s="6">
        <v>1</v>
      </c>
      <c r="S28" s="126" t="s">
        <v>35</v>
      </c>
      <c r="T28" s="16" t="s">
        <v>1060</v>
      </c>
      <c r="U28" s="16" t="s">
        <v>1066</v>
      </c>
      <c r="V28" s="16" t="s">
        <v>1064</v>
      </c>
      <c r="W28" s="6">
        <v>1</v>
      </c>
      <c r="X28" s="122" t="s">
        <v>1061</v>
      </c>
      <c r="Y28" s="122" t="s">
        <v>423</v>
      </c>
      <c r="Z28" s="122" t="s">
        <v>1065</v>
      </c>
      <c r="AA28" s="6">
        <v>1</v>
      </c>
      <c r="AB28" s="17" t="s">
        <v>1058</v>
      </c>
      <c r="AC28" s="17" t="s">
        <v>423</v>
      </c>
      <c r="AD28" s="17" t="s">
        <v>1062</v>
      </c>
      <c r="AE28" s="6">
        <v>1</v>
      </c>
      <c r="AF28" s="20" t="s">
        <v>1059</v>
      </c>
      <c r="AG28" s="16" t="s">
        <v>423</v>
      </c>
      <c r="AH28" s="16" t="s">
        <v>1063</v>
      </c>
      <c r="AI28" s="6">
        <v>1</v>
      </c>
    </row>
    <row r="29" spans="1:35" x14ac:dyDescent="0.25">
      <c r="A29" s="3" t="s">
        <v>36</v>
      </c>
      <c r="B29" s="68" t="s">
        <v>531</v>
      </c>
      <c r="C29" s="16" t="s">
        <v>539</v>
      </c>
      <c r="D29" s="16" t="s">
        <v>535</v>
      </c>
      <c r="E29">
        <v>1</v>
      </c>
      <c r="F29" s="68" t="s">
        <v>532</v>
      </c>
      <c r="G29" s="16" t="s">
        <v>423</v>
      </c>
      <c r="H29" s="16" t="s">
        <v>536</v>
      </c>
      <c r="I29" s="6">
        <v>1</v>
      </c>
      <c r="J29" s="16" t="s">
        <v>533</v>
      </c>
      <c r="K29" s="16" t="s">
        <v>423</v>
      </c>
      <c r="L29" s="16" t="s">
        <v>537</v>
      </c>
      <c r="M29">
        <v>1</v>
      </c>
      <c r="N29" s="24" t="s">
        <v>534</v>
      </c>
      <c r="O29" s="16" t="s">
        <v>423</v>
      </c>
      <c r="P29" s="16" t="s">
        <v>538</v>
      </c>
      <c r="Q29" s="76">
        <v>0.96</v>
      </c>
      <c r="S29" s="128" t="s">
        <v>36</v>
      </c>
      <c r="T29" s="16" t="s">
        <v>1069</v>
      </c>
      <c r="U29" s="16" t="s">
        <v>1075</v>
      </c>
      <c r="V29" s="16" t="s">
        <v>1073</v>
      </c>
      <c r="W29" s="6">
        <v>1</v>
      </c>
      <c r="X29" s="122" t="s">
        <v>1070</v>
      </c>
      <c r="Y29" s="122" t="s">
        <v>423</v>
      </c>
      <c r="Z29" s="122" t="s">
        <v>1074</v>
      </c>
      <c r="AA29" s="6">
        <v>1</v>
      </c>
      <c r="AB29" s="17" t="s">
        <v>1067</v>
      </c>
      <c r="AC29" s="17" t="s">
        <v>423</v>
      </c>
      <c r="AD29" s="17" t="s">
        <v>1071</v>
      </c>
      <c r="AE29" s="6">
        <v>1</v>
      </c>
      <c r="AF29" s="20" t="s">
        <v>1068</v>
      </c>
      <c r="AG29" s="16" t="s">
        <v>423</v>
      </c>
      <c r="AH29" s="16" t="s">
        <v>1072</v>
      </c>
      <c r="AI29" s="6">
        <v>1</v>
      </c>
    </row>
    <row r="30" spans="1:35" ht="15.75" thickBot="1" x14ac:dyDescent="0.3">
      <c r="A30" s="4" t="s">
        <v>37</v>
      </c>
      <c r="B30" s="68" t="s">
        <v>549</v>
      </c>
      <c r="C30" s="16" t="s">
        <v>557</v>
      </c>
      <c r="D30" s="16" t="s">
        <v>553</v>
      </c>
      <c r="E30">
        <v>1</v>
      </c>
      <c r="F30" s="68" t="s">
        <v>550</v>
      </c>
      <c r="G30" s="65" t="s">
        <v>423</v>
      </c>
      <c r="H30" s="16" t="s">
        <v>554</v>
      </c>
      <c r="I30" s="6">
        <v>1</v>
      </c>
      <c r="J30" s="16" t="s">
        <v>551</v>
      </c>
      <c r="K30" s="65" t="s">
        <v>423</v>
      </c>
      <c r="L30" s="16" t="s">
        <v>555</v>
      </c>
      <c r="M30">
        <v>1</v>
      </c>
      <c r="N30" s="24" t="s">
        <v>552</v>
      </c>
      <c r="O30" s="65" t="s">
        <v>423</v>
      </c>
      <c r="P30" s="16" t="s">
        <v>556</v>
      </c>
      <c r="Q30" s="6">
        <v>0.94</v>
      </c>
      <c r="S30" s="129" t="s">
        <v>37</v>
      </c>
      <c r="T30" s="16" t="s">
        <v>1088</v>
      </c>
      <c r="U30" s="16" t="s">
        <v>1085</v>
      </c>
      <c r="V30" s="16" t="s">
        <v>1092</v>
      </c>
      <c r="W30" s="6">
        <v>1</v>
      </c>
      <c r="X30" s="122" t="s">
        <v>1089</v>
      </c>
      <c r="Y30" s="17" t="s">
        <v>423</v>
      </c>
      <c r="Z30" s="122" t="s">
        <v>1093</v>
      </c>
      <c r="AA30" s="6">
        <v>1</v>
      </c>
      <c r="AB30" s="17" t="s">
        <v>1086</v>
      </c>
      <c r="AC30" s="17" t="s">
        <v>423</v>
      </c>
      <c r="AD30" s="17" t="s">
        <v>1090</v>
      </c>
      <c r="AE30" s="6">
        <v>1</v>
      </c>
      <c r="AF30" s="20" t="s">
        <v>1087</v>
      </c>
      <c r="AG30" s="17" t="s">
        <v>423</v>
      </c>
      <c r="AH30" s="16" t="s">
        <v>1091</v>
      </c>
      <c r="AI30" s="6">
        <v>1</v>
      </c>
    </row>
    <row r="31" spans="1:35" x14ac:dyDescent="0.25">
      <c r="A31" s="3" t="s">
        <v>38</v>
      </c>
      <c r="B31" s="77" t="s">
        <v>585</v>
      </c>
      <c r="C31" s="72" t="s">
        <v>593</v>
      </c>
      <c r="D31" s="72" t="s">
        <v>589</v>
      </c>
      <c r="E31" s="14">
        <v>1</v>
      </c>
      <c r="F31" s="77" t="s">
        <v>586</v>
      </c>
      <c r="G31" s="72" t="s">
        <v>423</v>
      </c>
      <c r="H31" s="72" t="s">
        <v>590</v>
      </c>
      <c r="I31" s="5">
        <v>1</v>
      </c>
      <c r="J31" s="72" t="s">
        <v>587</v>
      </c>
      <c r="K31" s="72" t="s">
        <v>423</v>
      </c>
      <c r="L31" s="72" t="s">
        <v>591</v>
      </c>
      <c r="M31" s="14">
        <v>1</v>
      </c>
      <c r="N31" s="81" t="s">
        <v>588</v>
      </c>
      <c r="O31" s="72" t="s">
        <v>423</v>
      </c>
      <c r="P31" s="72" t="s">
        <v>592</v>
      </c>
      <c r="Q31" s="5">
        <v>0.62</v>
      </c>
      <c r="S31" s="3" t="s">
        <v>38</v>
      </c>
      <c r="T31" s="84" t="s">
        <v>1114</v>
      </c>
      <c r="U31" s="84" t="s">
        <v>1116</v>
      </c>
      <c r="V31" s="84" t="s">
        <v>1119</v>
      </c>
      <c r="W31" s="84" t="s">
        <v>911</v>
      </c>
      <c r="X31" s="88" t="s">
        <v>1115</v>
      </c>
      <c r="Y31" s="124" t="s">
        <v>423</v>
      </c>
      <c r="Z31" s="88" t="s">
        <v>1120</v>
      </c>
      <c r="AA31" s="84" t="s">
        <v>911</v>
      </c>
      <c r="AB31" s="124" t="s">
        <v>1112</v>
      </c>
      <c r="AC31" s="124" t="s">
        <v>423</v>
      </c>
      <c r="AD31" s="124" t="s">
        <v>1117</v>
      </c>
      <c r="AE31" s="84" t="s">
        <v>911</v>
      </c>
      <c r="AF31" s="125" t="s">
        <v>1113</v>
      </c>
      <c r="AG31" s="124" t="s">
        <v>423</v>
      </c>
      <c r="AH31" s="84" t="s">
        <v>1118</v>
      </c>
      <c r="AI31" s="84">
        <v>1</v>
      </c>
    </row>
    <row r="32" spans="1:35" x14ac:dyDescent="0.25">
      <c r="A32" s="3" t="s">
        <v>39</v>
      </c>
      <c r="B32" s="24" t="s">
        <v>603</v>
      </c>
      <c r="C32" s="16" t="s">
        <v>611</v>
      </c>
      <c r="D32" s="16" t="s">
        <v>607</v>
      </c>
      <c r="E32">
        <v>1</v>
      </c>
      <c r="F32" s="68" t="s">
        <v>604</v>
      </c>
      <c r="G32" s="65" t="s">
        <v>423</v>
      </c>
      <c r="H32" s="16" t="s">
        <v>608</v>
      </c>
      <c r="I32" s="6">
        <v>1</v>
      </c>
      <c r="J32" s="16" t="s">
        <v>605</v>
      </c>
      <c r="K32" s="65" t="s">
        <v>423</v>
      </c>
      <c r="L32" s="16" t="s">
        <v>609</v>
      </c>
      <c r="M32">
        <v>1</v>
      </c>
      <c r="N32" s="68" t="s">
        <v>606</v>
      </c>
      <c r="O32" s="65" t="s">
        <v>423</v>
      </c>
      <c r="P32" s="16" t="s">
        <v>610</v>
      </c>
      <c r="Q32" s="6">
        <v>0.74</v>
      </c>
      <c r="S32" s="3" t="s">
        <v>39</v>
      </c>
      <c r="T32" s="123" t="s">
        <v>1105</v>
      </c>
      <c r="U32" s="84" t="s">
        <v>1107</v>
      </c>
      <c r="V32" s="123" t="s">
        <v>1109</v>
      </c>
      <c r="W32" s="124" t="s">
        <v>911</v>
      </c>
      <c r="X32" s="88" t="s">
        <v>1104</v>
      </c>
      <c r="Y32" s="84" t="s">
        <v>423</v>
      </c>
      <c r="Z32" s="88" t="s">
        <v>1108</v>
      </c>
      <c r="AA32" s="124" t="s">
        <v>911</v>
      </c>
      <c r="AB32" s="124" t="s">
        <v>1103</v>
      </c>
      <c r="AC32" s="84" t="s">
        <v>423</v>
      </c>
      <c r="AD32" s="124" t="s">
        <v>1111</v>
      </c>
      <c r="AE32" s="124" t="s">
        <v>911</v>
      </c>
      <c r="AF32" s="37" t="s">
        <v>1106</v>
      </c>
      <c r="AG32" s="84" t="s">
        <v>423</v>
      </c>
      <c r="AH32" s="123" t="s">
        <v>1110</v>
      </c>
      <c r="AI32" s="124" t="s">
        <v>911</v>
      </c>
    </row>
    <row r="33" spans="1:35" ht="15.75" thickBot="1" x14ac:dyDescent="0.3">
      <c r="A33" s="4" t="s">
        <v>40</v>
      </c>
      <c r="B33" s="73" t="s">
        <v>612</v>
      </c>
      <c r="C33" s="70" t="s">
        <v>620</v>
      </c>
      <c r="D33" s="70" t="s">
        <v>616</v>
      </c>
      <c r="E33" s="15">
        <v>1</v>
      </c>
      <c r="F33" s="73" t="s">
        <v>613</v>
      </c>
      <c r="G33" s="70" t="s">
        <v>423</v>
      </c>
      <c r="H33" s="70" t="s">
        <v>617</v>
      </c>
      <c r="I33" s="7">
        <v>1</v>
      </c>
      <c r="J33" s="70" t="s">
        <v>614</v>
      </c>
      <c r="K33" s="70" t="s">
        <v>423</v>
      </c>
      <c r="L33" s="69" t="s">
        <v>619</v>
      </c>
      <c r="M33" s="15">
        <v>1</v>
      </c>
      <c r="N33" s="82" t="s">
        <v>615</v>
      </c>
      <c r="O33" s="70" t="s">
        <v>423</v>
      </c>
      <c r="P33" s="70" t="s">
        <v>618</v>
      </c>
      <c r="Q33" s="7">
        <v>0.64</v>
      </c>
      <c r="S33" s="4" t="s">
        <v>40</v>
      </c>
      <c r="T33" s="73"/>
      <c r="U33" s="70"/>
      <c r="V33" s="70"/>
      <c r="W33" s="7"/>
      <c r="X33" s="73"/>
      <c r="Y33" s="70"/>
      <c r="Z33" s="70"/>
      <c r="AA33" s="7"/>
      <c r="AE33" s="7"/>
      <c r="AF33" s="73"/>
      <c r="AG33" s="70"/>
      <c r="AH33" s="70"/>
      <c r="AI33" s="7"/>
    </row>
    <row r="34" spans="1:35" ht="15.75" thickBot="1" x14ac:dyDescent="0.3">
      <c r="A34" s="128" t="s">
        <v>11</v>
      </c>
      <c r="B34" s="68" t="s">
        <v>558</v>
      </c>
      <c r="C34" s="16" t="s">
        <v>566</v>
      </c>
      <c r="D34" s="16" t="s">
        <v>562</v>
      </c>
      <c r="E34">
        <v>1</v>
      </c>
      <c r="F34" s="68" t="s">
        <v>559</v>
      </c>
      <c r="G34" s="65" t="s">
        <v>423</v>
      </c>
      <c r="H34" s="16" t="s">
        <v>563</v>
      </c>
      <c r="I34" s="6">
        <v>1</v>
      </c>
      <c r="J34" s="16" t="s">
        <v>560</v>
      </c>
      <c r="K34" s="65" t="s">
        <v>423</v>
      </c>
      <c r="L34" s="16" t="s">
        <v>564</v>
      </c>
      <c r="M34">
        <v>1</v>
      </c>
      <c r="N34" s="24" t="s">
        <v>561</v>
      </c>
      <c r="O34" s="65" t="s">
        <v>423</v>
      </c>
      <c r="P34" s="16" t="s">
        <v>565</v>
      </c>
      <c r="Q34" s="6">
        <v>1</v>
      </c>
      <c r="S34" s="128" t="s">
        <v>11</v>
      </c>
      <c r="T34" s="16" t="s">
        <v>1096</v>
      </c>
      <c r="U34" s="16" t="s">
        <v>1102</v>
      </c>
      <c r="V34" s="16" t="s">
        <v>1100</v>
      </c>
      <c r="W34" s="6">
        <v>1</v>
      </c>
      <c r="X34" s="122" t="s">
        <v>1097</v>
      </c>
      <c r="Y34" s="17" t="s">
        <v>423</v>
      </c>
      <c r="Z34" s="122" t="s">
        <v>1101</v>
      </c>
      <c r="AA34" s="6">
        <v>1</v>
      </c>
      <c r="AB34" s="17" t="s">
        <v>1094</v>
      </c>
      <c r="AC34" s="17" t="s">
        <v>423</v>
      </c>
      <c r="AD34" s="17" t="s">
        <v>1098</v>
      </c>
      <c r="AE34" s="6">
        <v>1</v>
      </c>
      <c r="AF34" s="20" t="s">
        <v>1095</v>
      </c>
      <c r="AG34" s="17" t="s">
        <v>423</v>
      </c>
      <c r="AH34" s="16" t="s">
        <v>1099</v>
      </c>
      <c r="AI34" s="6">
        <v>1</v>
      </c>
    </row>
    <row r="35" spans="1:35" ht="15.75" thickBot="1" x14ac:dyDescent="0.3">
      <c r="A35" s="127" t="s">
        <v>8</v>
      </c>
      <c r="B35" s="74" t="s">
        <v>513</v>
      </c>
      <c r="C35" s="75" t="s">
        <v>521</v>
      </c>
      <c r="D35" s="75" t="s">
        <v>517</v>
      </c>
      <c r="E35" s="1">
        <v>1</v>
      </c>
      <c r="F35" s="74" t="s">
        <v>514</v>
      </c>
      <c r="G35" s="75" t="s">
        <v>423</v>
      </c>
      <c r="H35" s="75" t="s">
        <v>518</v>
      </c>
      <c r="I35" s="13">
        <v>1</v>
      </c>
      <c r="J35" s="79" t="s">
        <v>515</v>
      </c>
      <c r="K35" s="75" t="s">
        <v>423</v>
      </c>
      <c r="L35" s="75" t="s">
        <v>519</v>
      </c>
      <c r="M35" s="1">
        <v>1</v>
      </c>
      <c r="N35" s="83" t="s">
        <v>516</v>
      </c>
      <c r="O35" s="75" t="s">
        <v>423</v>
      </c>
      <c r="P35" s="75" t="s">
        <v>520</v>
      </c>
      <c r="Q35" s="13">
        <v>1</v>
      </c>
      <c r="S35" s="127" t="s">
        <v>8</v>
      </c>
      <c r="T35" s="16" t="s">
        <v>1051</v>
      </c>
      <c r="U35" s="16" t="s">
        <v>1057</v>
      </c>
      <c r="V35" s="16" t="s">
        <v>1055</v>
      </c>
      <c r="W35" s="13">
        <v>1</v>
      </c>
      <c r="X35" s="122" t="s">
        <v>1052</v>
      </c>
      <c r="Y35" s="122" t="s">
        <v>423</v>
      </c>
      <c r="Z35" s="122" t="s">
        <v>1056</v>
      </c>
      <c r="AA35" s="13">
        <v>1</v>
      </c>
      <c r="AB35" s="17" t="s">
        <v>1049</v>
      </c>
      <c r="AC35" s="17" t="s">
        <v>423</v>
      </c>
      <c r="AD35" s="17" t="s">
        <v>1053</v>
      </c>
      <c r="AE35" s="13">
        <v>1</v>
      </c>
      <c r="AF35" s="20" t="s">
        <v>1050</v>
      </c>
      <c r="AG35" s="16" t="s">
        <v>423</v>
      </c>
      <c r="AH35" s="16" t="s">
        <v>1054</v>
      </c>
      <c r="AI35" s="13">
        <v>1</v>
      </c>
    </row>
    <row r="36" spans="1:35" x14ac:dyDescent="0.25">
      <c r="A36" s="126" t="s">
        <v>4</v>
      </c>
      <c r="B36" s="68" t="s">
        <v>540</v>
      </c>
      <c r="C36" s="16" t="s">
        <v>548</v>
      </c>
      <c r="D36" s="16" t="s">
        <v>544</v>
      </c>
      <c r="E36">
        <v>1</v>
      </c>
      <c r="F36" s="68" t="s">
        <v>541</v>
      </c>
      <c r="G36" s="65" t="s">
        <v>423</v>
      </c>
      <c r="H36" s="16" t="s">
        <v>545</v>
      </c>
      <c r="I36" s="6">
        <v>1</v>
      </c>
      <c r="J36" s="16" t="s">
        <v>542</v>
      </c>
      <c r="K36" s="65" t="s">
        <v>423</v>
      </c>
      <c r="L36" s="16" t="s">
        <v>546</v>
      </c>
      <c r="M36">
        <v>1</v>
      </c>
      <c r="N36" s="24" t="s">
        <v>543</v>
      </c>
      <c r="O36" s="65" t="s">
        <v>423</v>
      </c>
      <c r="P36" s="16" t="s">
        <v>547</v>
      </c>
      <c r="Q36" s="6">
        <v>1</v>
      </c>
      <c r="S36" s="126" t="s">
        <v>4</v>
      </c>
      <c r="T36" s="16" t="s">
        <v>1078</v>
      </c>
      <c r="U36" s="16" t="s">
        <v>1084</v>
      </c>
      <c r="V36" s="16" t="s">
        <v>1082</v>
      </c>
      <c r="W36" s="6">
        <v>1</v>
      </c>
      <c r="X36" s="122" t="s">
        <v>1079</v>
      </c>
      <c r="Y36" s="122" t="s">
        <v>423</v>
      </c>
      <c r="Z36" s="122" t="s">
        <v>1083</v>
      </c>
      <c r="AA36" s="6">
        <v>1</v>
      </c>
      <c r="AB36" s="17" t="s">
        <v>1076</v>
      </c>
      <c r="AC36" s="17" t="s">
        <v>423</v>
      </c>
      <c r="AD36" s="17" t="s">
        <v>1080</v>
      </c>
      <c r="AE36" s="6">
        <v>1</v>
      </c>
      <c r="AF36" s="20" t="s">
        <v>1077</v>
      </c>
      <c r="AG36" s="16" t="s">
        <v>423</v>
      </c>
      <c r="AH36" s="16" t="s">
        <v>1081</v>
      </c>
      <c r="AI36" s="6">
        <v>1</v>
      </c>
    </row>
    <row r="37" spans="1:35" ht="15.75" thickBot="1" x14ac:dyDescent="0.3">
      <c r="A37" s="4" t="s">
        <v>5</v>
      </c>
      <c r="B37" s="68" t="s">
        <v>594</v>
      </c>
      <c r="C37" s="16" t="s">
        <v>602</v>
      </c>
      <c r="D37" s="16" t="s">
        <v>598</v>
      </c>
      <c r="E37">
        <v>1</v>
      </c>
      <c r="F37" s="68" t="s">
        <v>595</v>
      </c>
      <c r="G37" s="16" t="s">
        <v>423</v>
      </c>
      <c r="H37" s="16" t="s">
        <v>599</v>
      </c>
      <c r="I37" s="6">
        <v>1</v>
      </c>
      <c r="J37" s="16" t="s">
        <v>596</v>
      </c>
      <c r="K37" s="16" t="s">
        <v>423</v>
      </c>
      <c r="L37" s="16" t="s">
        <v>600</v>
      </c>
      <c r="M37">
        <v>1</v>
      </c>
      <c r="N37" s="24" t="s">
        <v>597</v>
      </c>
      <c r="O37" s="16" t="s">
        <v>423</v>
      </c>
      <c r="P37" s="16" t="s">
        <v>601</v>
      </c>
      <c r="Q37" s="6">
        <v>1</v>
      </c>
      <c r="S37" s="4" t="s">
        <v>5</v>
      </c>
      <c r="T37" s="84" t="s">
        <v>1122</v>
      </c>
      <c r="U37" s="84" t="s">
        <v>1121</v>
      </c>
      <c r="V37" s="84" t="s">
        <v>1123</v>
      </c>
      <c r="W37" s="124" t="s">
        <v>911</v>
      </c>
      <c r="X37" s="88" t="s">
        <v>1124</v>
      </c>
      <c r="Y37" s="84" t="s">
        <v>423</v>
      </c>
      <c r="Z37" s="88" t="s">
        <v>1125</v>
      </c>
      <c r="AA37" s="124" t="s">
        <v>911</v>
      </c>
      <c r="AB37" s="124" t="s">
        <v>1126</v>
      </c>
      <c r="AC37" s="84" t="s">
        <v>423</v>
      </c>
      <c r="AD37" s="124" t="s">
        <v>1127</v>
      </c>
      <c r="AE37" s="124" t="s">
        <v>911</v>
      </c>
      <c r="AF37" s="125" t="s">
        <v>1128</v>
      </c>
      <c r="AG37" s="84" t="s">
        <v>423</v>
      </c>
      <c r="AH37" s="84" t="s">
        <v>1129</v>
      </c>
      <c r="AI37" s="124" t="s">
        <v>911</v>
      </c>
    </row>
    <row r="38" spans="1:35" x14ac:dyDescent="0.25">
      <c r="A38" s="2" t="s">
        <v>13</v>
      </c>
      <c r="B38" s="77" t="s">
        <v>567</v>
      </c>
      <c r="C38" s="72" t="s">
        <v>575</v>
      </c>
      <c r="D38" s="72" t="s">
        <v>571</v>
      </c>
      <c r="E38" s="14">
        <v>1</v>
      </c>
      <c r="F38" s="77" t="s">
        <v>568</v>
      </c>
      <c r="G38" s="71" t="s">
        <v>423</v>
      </c>
      <c r="H38" s="72" t="s">
        <v>572</v>
      </c>
      <c r="I38" s="5">
        <v>1</v>
      </c>
      <c r="J38" s="78" t="s">
        <v>569</v>
      </c>
      <c r="K38" s="71" t="s">
        <v>423</v>
      </c>
      <c r="L38" s="72" t="s">
        <v>573</v>
      </c>
      <c r="M38" s="14">
        <v>1</v>
      </c>
      <c r="N38" s="77" t="s">
        <v>570</v>
      </c>
      <c r="O38" s="71" t="s">
        <v>423</v>
      </c>
      <c r="P38" s="72" t="s">
        <v>574</v>
      </c>
      <c r="Q38" s="5">
        <v>0.9</v>
      </c>
      <c r="S38" s="2" t="s">
        <v>13</v>
      </c>
      <c r="T38" s="77"/>
      <c r="U38" s="72"/>
      <c r="V38" s="72"/>
      <c r="W38" s="14"/>
      <c r="X38" s="77"/>
      <c r="Y38" s="71"/>
      <c r="Z38" s="72"/>
      <c r="AA38" s="5"/>
      <c r="AF38" s="77"/>
      <c r="AG38" s="71"/>
      <c r="AH38" s="72"/>
      <c r="AI38" s="5"/>
    </row>
    <row r="39" spans="1:35" ht="15.75" thickBot="1" x14ac:dyDescent="0.3">
      <c r="A39" s="4" t="s">
        <v>14</v>
      </c>
      <c r="B39" s="73" t="s">
        <v>576</v>
      </c>
      <c r="C39" s="70" t="s">
        <v>584</v>
      </c>
      <c r="D39" s="70" t="s">
        <v>580</v>
      </c>
      <c r="E39" s="15">
        <v>1</v>
      </c>
      <c r="F39" s="73" t="s">
        <v>577</v>
      </c>
      <c r="G39" s="70" t="s">
        <v>423</v>
      </c>
      <c r="H39" s="70" t="s">
        <v>581</v>
      </c>
      <c r="I39" s="7">
        <v>1</v>
      </c>
      <c r="J39" s="80" t="s">
        <v>578</v>
      </c>
      <c r="K39" s="70" t="s">
        <v>423</v>
      </c>
      <c r="L39" s="70" t="s">
        <v>582</v>
      </c>
      <c r="M39" s="15">
        <v>1</v>
      </c>
      <c r="N39" s="73" t="s">
        <v>579</v>
      </c>
      <c r="O39" s="70" t="s">
        <v>423</v>
      </c>
      <c r="P39" s="70" t="s">
        <v>583</v>
      </c>
      <c r="Q39" s="7">
        <v>1</v>
      </c>
      <c r="S39" s="4" t="s">
        <v>14</v>
      </c>
      <c r="T39" s="73"/>
      <c r="U39" s="70"/>
      <c r="V39" s="70"/>
      <c r="W39" s="15"/>
      <c r="X39" s="73"/>
      <c r="Y39" s="70"/>
      <c r="Z39" s="70"/>
      <c r="AA39" s="7"/>
      <c r="AB39" s="70"/>
      <c r="AC39" s="70"/>
      <c r="AD39" s="70"/>
      <c r="AE39" s="15"/>
      <c r="AF39" s="73"/>
      <c r="AG39" s="70"/>
      <c r="AH39" s="70"/>
      <c r="AI39" s="7"/>
    </row>
    <row r="41" spans="1:35" x14ac:dyDescent="0.25">
      <c r="C41" s="16"/>
      <c r="D41" s="16"/>
      <c r="E41" s="16"/>
    </row>
    <row r="42" spans="1:35" ht="15.75" thickBot="1" x14ac:dyDescent="0.3">
      <c r="P42" s="19"/>
    </row>
    <row r="43" spans="1:35" ht="15.75" thickBot="1" x14ac:dyDescent="0.3">
      <c r="A43" s="217" t="s">
        <v>208</v>
      </c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5"/>
    </row>
    <row r="44" spans="1:35" x14ac:dyDescent="0.25">
      <c r="A44" s="222" t="s">
        <v>31</v>
      </c>
      <c r="B44" s="220" t="s">
        <v>46</v>
      </c>
      <c r="C44" s="221"/>
      <c r="D44" s="221"/>
      <c r="E44" s="221"/>
      <c r="F44" s="214" t="s">
        <v>32</v>
      </c>
      <c r="G44" s="216"/>
      <c r="H44" s="216"/>
      <c r="I44" s="215"/>
      <c r="J44" s="216" t="s">
        <v>41</v>
      </c>
      <c r="K44" s="216"/>
      <c r="L44" s="216"/>
      <c r="M44" s="215"/>
    </row>
    <row r="45" spans="1:35" ht="15.75" thickBot="1" x14ac:dyDescent="0.3">
      <c r="A45" s="223"/>
      <c r="B45" s="4" t="s">
        <v>47</v>
      </c>
      <c r="C45" s="15" t="s">
        <v>415</v>
      </c>
      <c r="D45" s="15" t="s">
        <v>48</v>
      </c>
      <c r="E45" s="15" t="s">
        <v>621</v>
      </c>
      <c r="F45" s="4" t="s">
        <v>47</v>
      </c>
      <c r="G45" s="15" t="s">
        <v>415</v>
      </c>
      <c r="H45" s="15" t="s">
        <v>48</v>
      </c>
      <c r="I45" s="7" t="s">
        <v>621</v>
      </c>
      <c r="J45" s="15" t="s">
        <v>47</v>
      </c>
      <c r="K45" s="15" t="s">
        <v>415</v>
      </c>
      <c r="L45" s="15" t="s">
        <v>48</v>
      </c>
      <c r="M45" s="7" t="s">
        <v>621</v>
      </c>
    </row>
    <row r="46" spans="1:35" x14ac:dyDescent="0.25">
      <c r="A46" s="2" t="s">
        <v>35</v>
      </c>
      <c r="B46" s="68" t="s">
        <v>622</v>
      </c>
      <c r="C46" s="16" t="s">
        <v>628</v>
      </c>
      <c r="D46" s="16" t="s">
        <v>625</v>
      </c>
      <c r="E46">
        <v>1</v>
      </c>
      <c r="F46" s="68" t="s">
        <v>623</v>
      </c>
      <c r="G46" s="16" t="s">
        <v>629</v>
      </c>
      <c r="H46" s="16" t="s">
        <v>626</v>
      </c>
      <c r="I46" s="6">
        <v>1</v>
      </c>
      <c r="J46" s="20" t="s">
        <v>624</v>
      </c>
      <c r="K46" s="16" t="s">
        <v>630</v>
      </c>
      <c r="L46" s="16" t="s">
        <v>627</v>
      </c>
      <c r="M46" s="6">
        <v>0.98</v>
      </c>
    </row>
    <row r="47" spans="1:35" x14ac:dyDescent="0.25">
      <c r="A47" s="3" t="s">
        <v>36</v>
      </c>
      <c r="B47" s="68" t="s">
        <v>631</v>
      </c>
      <c r="C47" s="16" t="s">
        <v>637</v>
      </c>
      <c r="D47" s="16" t="s">
        <v>634</v>
      </c>
      <c r="E47">
        <v>1</v>
      </c>
      <c r="F47" s="68" t="s">
        <v>632</v>
      </c>
      <c r="G47" s="16" t="s">
        <v>638</v>
      </c>
      <c r="H47" s="16" t="s">
        <v>635</v>
      </c>
      <c r="I47" s="6">
        <v>1</v>
      </c>
      <c r="J47" s="20" t="s">
        <v>633</v>
      </c>
      <c r="K47" s="16" t="s">
        <v>639</v>
      </c>
      <c r="L47" s="16" t="s">
        <v>636</v>
      </c>
      <c r="M47" s="6">
        <v>0.98</v>
      </c>
    </row>
    <row r="48" spans="1:35" ht="15.75" thickBot="1" x14ac:dyDescent="0.3">
      <c r="A48" s="4" t="s">
        <v>37</v>
      </c>
      <c r="B48" s="68" t="s">
        <v>657</v>
      </c>
      <c r="C48" s="16" t="s">
        <v>663</v>
      </c>
      <c r="D48" s="16" t="s">
        <v>660</v>
      </c>
      <c r="E48">
        <v>1</v>
      </c>
      <c r="F48" s="68" t="s">
        <v>658</v>
      </c>
      <c r="G48" s="16" t="s">
        <v>664</v>
      </c>
      <c r="H48" s="16" t="s">
        <v>661</v>
      </c>
      <c r="I48" s="6">
        <v>1</v>
      </c>
      <c r="J48" s="20" t="s">
        <v>659</v>
      </c>
      <c r="K48" s="16" t="s">
        <v>665</v>
      </c>
      <c r="L48" s="16" t="s">
        <v>662</v>
      </c>
      <c r="M48" s="6">
        <v>0.98</v>
      </c>
    </row>
    <row r="49" spans="1:13" x14ac:dyDescent="0.25">
      <c r="A49" s="3" t="s">
        <v>38</v>
      </c>
      <c r="B49" s="81" t="s">
        <v>692</v>
      </c>
      <c r="C49" s="72" t="s">
        <v>698</v>
      </c>
      <c r="D49" s="72" t="s">
        <v>695</v>
      </c>
      <c r="E49" s="14">
        <v>1</v>
      </c>
      <c r="F49" s="77" t="s">
        <v>693</v>
      </c>
      <c r="G49" s="72" t="s">
        <v>699</v>
      </c>
      <c r="H49" s="72" t="s">
        <v>696</v>
      </c>
      <c r="I49" s="5">
        <v>1</v>
      </c>
      <c r="J49" s="72" t="s">
        <v>694</v>
      </c>
      <c r="K49" s="72" t="s">
        <v>700</v>
      </c>
      <c r="L49" s="72" t="s">
        <v>697</v>
      </c>
      <c r="M49" s="5">
        <v>0.68</v>
      </c>
    </row>
    <row r="50" spans="1:13" x14ac:dyDescent="0.25">
      <c r="A50" s="3" t="s">
        <v>39</v>
      </c>
      <c r="B50" s="68" t="s">
        <v>701</v>
      </c>
      <c r="C50" s="16" t="s">
        <v>707</v>
      </c>
      <c r="D50" s="16" t="s">
        <v>704</v>
      </c>
      <c r="E50">
        <v>1</v>
      </c>
      <c r="F50" s="68" t="s">
        <v>702</v>
      </c>
      <c r="G50" s="16" t="s">
        <v>708</v>
      </c>
      <c r="H50" s="16" t="s">
        <v>705</v>
      </c>
      <c r="I50" s="6">
        <v>1</v>
      </c>
      <c r="J50" s="20" t="s">
        <v>703</v>
      </c>
      <c r="K50" s="16" t="s">
        <v>709</v>
      </c>
      <c r="L50" s="16" t="s">
        <v>706</v>
      </c>
      <c r="M50" s="6">
        <v>0.84</v>
      </c>
    </row>
    <row r="51" spans="1:13" ht="15.75" thickBot="1" x14ac:dyDescent="0.3">
      <c r="A51" s="4" t="s">
        <v>40</v>
      </c>
      <c r="B51" s="82" t="s">
        <v>719</v>
      </c>
      <c r="C51" s="70" t="s">
        <v>725</v>
      </c>
      <c r="D51" s="70" t="s">
        <v>722</v>
      </c>
      <c r="E51" s="15">
        <v>1</v>
      </c>
      <c r="F51" s="73" t="s">
        <v>720</v>
      </c>
      <c r="G51" s="70" t="s">
        <v>726</v>
      </c>
      <c r="H51" s="70" t="s">
        <v>723</v>
      </c>
      <c r="I51" s="7">
        <v>1</v>
      </c>
      <c r="J51" s="70" t="s">
        <v>721</v>
      </c>
      <c r="K51" s="70" t="s">
        <v>726</v>
      </c>
      <c r="L51" s="70" t="s">
        <v>724</v>
      </c>
      <c r="M51" s="7">
        <v>0.84</v>
      </c>
    </row>
    <row r="52" spans="1:13" ht="15.75" thickBot="1" x14ac:dyDescent="0.3">
      <c r="A52" s="3" t="s">
        <v>11</v>
      </c>
      <c r="B52" s="68" t="s">
        <v>666</v>
      </c>
      <c r="C52" s="16" t="s">
        <v>672</v>
      </c>
      <c r="D52" s="16" t="s">
        <v>669</v>
      </c>
      <c r="E52">
        <v>1</v>
      </c>
      <c r="F52" s="68" t="s">
        <v>667</v>
      </c>
      <c r="G52" s="16" t="s">
        <v>673</v>
      </c>
      <c r="H52" s="16" t="s">
        <v>670</v>
      </c>
      <c r="I52" s="6">
        <v>1</v>
      </c>
      <c r="J52" s="20" t="s">
        <v>668</v>
      </c>
      <c r="K52" s="16" t="s">
        <v>674</v>
      </c>
      <c r="L52" s="16" t="s">
        <v>671</v>
      </c>
      <c r="M52" s="6">
        <v>1</v>
      </c>
    </row>
    <row r="53" spans="1:13" ht="15.75" thickBot="1" x14ac:dyDescent="0.3">
      <c r="A53" s="8" t="s">
        <v>8</v>
      </c>
      <c r="B53" s="74" t="s">
        <v>675</v>
      </c>
      <c r="C53" s="75" t="s">
        <v>681</v>
      </c>
      <c r="D53" s="75" t="s">
        <v>678</v>
      </c>
      <c r="E53" s="1">
        <v>1</v>
      </c>
      <c r="F53" s="83" t="s">
        <v>676</v>
      </c>
      <c r="G53" s="75" t="s">
        <v>682</v>
      </c>
      <c r="H53" s="75" t="s">
        <v>679</v>
      </c>
      <c r="I53" s="13">
        <v>0.9</v>
      </c>
      <c r="J53" s="75" t="s">
        <v>677</v>
      </c>
      <c r="K53" s="75" t="s">
        <v>683</v>
      </c>
      <c r="L53" s="75" t="s">
        <v>680</v>
      </c>
      <c r="M53" s="13">
        <v>0.92</v>
      </c>
    </row>
    <row r="54" spans="1:13" x14ac:dyDescent="0.25">
      <c r="A54" s="2" t="s">
        <v>4</v>
      </c>
      <c r="B54" s="68" t="s">
        <v>640</v>
      </c>
      <c r="C54" s="16" t="s">
        <v>646</v>
      </c>
      <c r="D54" s="16" t="s">
        <v>643</v>
      </c>
      <c r="E54">
        <v>1</v>
      </c>
      <c r="F54" s="68" t="s">
        <v>641</v>
      </c>
      <c r="G54" s="16" t="s">
        <v>647</v>
      </c>
      <c r="H54" s="16" t="s">
        <v>644</v>
      </c>
      <c r="I54" s="6">
        <v>1</v>
      </c>
      <c r="J54" s="20" t="s">
        <v>642</v>
      </c>
      <c r="K54" s="16" t="s">
        <v>648</v>
      </c>
      <c r="L54" s="16" t="s">
        <v>645</v>
      </c>
      <c r="M54" s="6">
        <v>1</v>
      </c>
    </row>
    <row r="55" spans="1:13" ht="15.75" thickBot="1" x14ac:dyDescent="0.3">
      <c r="A55" s="4" t="s">
        <v>5</v>
      </c>
      <c r="B55" s="68" t="s">
        <v>710</v>
      </c>
      <c r="C55" s="16" t="s">
        <v>716</v>
      </c>
      <c r="D55" s="16" t="s">
        <v>713</v>
      </c>
      <c r="E55">
        <v>1</v>
      </c>
      <c r="F55" s="68" t="s">
        <v>711</v>
      </c>
      <c r="G55" s="65" t="s">
        <v>718</v>
      </c>
      <c r="H55" s="16" t="s">
        <v>714</v>
      </c>
      <c r="I55" s="6">
        <v>1</v>
      </c>
      <c r="J55" s="20" t="s">
        <v>712</v>
      </c>
      <c r="K55" s="16" t="s">
        <v>717</v>
      </c>
      <c r="L55" s="16" t="s">
        <v>715</v>
      </c>
      <c r="M55" s="6">
        <v>1</v>
      </c>
    </row>
    <row r="56" spans="1:13" x14ac:dyDescent="0.25">
      <c r="A56" s="2" t="s">
        <v>13</v>
      </c>
      <c r="B56" s="81" t="s">
        <v>649</v>
      </c>
      <c r="C56" s="72" t="s">
        <v>655</v>
      </c>
      <c r="D56" s="72" t="s">
        <v>652</v>
      </c>
      <c r="E56" s="14">
        <v>1</v>
      </c>
      <c r="F56" s="77" t="s">
        <v>650</v>
      </c>
      <c r="G56" s="72" t="s">
        <v>656</v>
      </c>
      <c r="H56" s="72" t="s">
        <v>653</v>
      </c>
      <c r="I56" s="5">
        <v>1</v>
      </c>
      <c r="J56" s="72" t="s">
        <v>651</v>
      </c>
      <c r="K56" s="72" t="s">
        <v>656</v>
      </c>
      <c r="L56" s="72" t="s">
        <v>654</v>
      </c>
      <c r="M56" s="5">
        <v>0.92</v>
      </c>
    </row>
    <row r="57" spans="1:13" ht="15.75" thickBot="1" x14ac:dyDescent="0.3">
      <c r="A57" s="4" t="s">
        <v>14</v>
      </c>
      <c r="B57" s="82" t="s">
        <v>684</v>
      </c>
      <c r="C57" s="70" t="s">
        <v>690</v>
      </c>
      <c r="D57" s="70" t="s">
        <v>687</v>
      </c>
      <c r="E57" s="15">
        <v>1</v>
      </c>
      <c r="F57" s="73" t="s">
        <v>685</v>
      </c>
      <c r="G57" s="70" t="s">
        <v>691</v>
      </c>
      <c r="H57" s="70" t="s">
        <v>688</v>
      </c>
      <c r="I57" s="7">
        <v>1</v>
      </c>
      <c r="J57" s="70" t="s">
        <v>686</v>
      </c>
      <c r="K57" s="70" t="s">
        <v>691</v>
      </c>
      <c r="L57" s="70" t="s">
        <v>689</v>
      </c>
      <c r="M57" s="7">
        <v>0.88</v>
      </c>
    </row>
    <row r="58" spans="1:13" x14ac:dyDescent="0.25">
      <c r="B58" s="20"/>
      <c r="C58" s="16"/>
      <c r="D58" s="16"/>
      <c r="F58" s="16"/>
      <c r="G58" s="16"/>
      <c r="H58" s="16"/>
      <c r="J58" s="16"/>
      <c r="K58" s="16"/>
      <c r="L58" s="16"/>
    </row>
    <row r="60" spans="1:13" ht="15.75" thickBot="1" x14ac:dyDescent="0.3"/>
    <row r="61" spans="1:13" ht="15.75" thickBot="1" x14ac:dyDescent="0.3">
      <c r="A61" s="217" t="s">
        <v>925</v>
      </c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5"/>
    </row>
    <row r="62" spans="1:13" x14ac:dyDescent="0.25">
      <c r="A62" s="222" t="s">
        <v>31</v>
      </c>
      <c r="B62" s="220" t="s">
        <v>46</v>
      </c>
      <c r="C62" s="221"/>
      <c r="D62" s="221"/>
      <c r="E62" s="221"/>
      <c r="F62" s="214" t="s">
        <v>32</v>
      </c>
      <c r="G62" s="216"/>
      <c r="H62" s="216"/>
      <c r="I62" s="215"/>
      <c r="J62" s="216" t="s">
        <v>41</v>
      </c>
      <c r="K62" s="216"/>
      <c r="L62" s="216"/>
      <c r="M62" s="215"/>
    </row>
    <row r="63" spans="1:13" ht="15.75" thickBot="1" x14ac:dyDescent="0.3">
      <c r="A63" s="223"/>
      <c r="B63" s="3" t="s">
        <v>47</v>
      </c>
      <c r="C63" t="s">
        <v>415</v>
      </c>
      <c r="D63" t="s">
        <v>48</v>
      </c>
      <c r="E63" t="s">
        <v>621</v>
      </c>
      <c r="F63" s="3" t="s">
        <v>47</v>
      </c>
      <c r="G63" t="s">
        <v>415</v>
      </c>
      <c r="H63" t="s">
        <v>48</v>
      </c>
      <c r="I63" s="6" t="s">
        <v>621</v>
      </c>
      <c r="J63" t="s">
        <v>47</v>
      </c>
      <c r="K63" t="s">
        <v>415</v>
      </c>
      <c r="L63" t="s">
        <v>48</v>
      </c>
      <c r="M63" s="6" t="s">
        <v>621</v>
      </c>
    </row>
    <row r="64" spans="1:13" x14ac:dyDescent="0.25">
      <c r="A64" s="2" t="s">
        <v>35</v>
      </c>
      <c r="B64" s="81" t="s">
        <v>926</v>
      </c>
      <c r="C64" s="72" t="s">
        <v>932</v>
      </c>
      <c r="D64" s="72" t="s">
        <v>929</v>
      </c>
      <c r="E64" s="72" t="s">
        <v>911</v>
      </c>
      <c r="F64" s="77" t="s">
        <v>927</v>
      </c>
      <c r="G64" s="72" t="s">
        <v>933</v>
      </c>
      <c r="H64" s="72" t="s">
        <v>930</v>
      </c>
      <c r="I64" s="118" t="s">
        <v>911</v>
      </c>
      <c r="J64" s="72" t="s">
        <v>928</v>
      </c>
      <c r="K64" s="72" t="s">
        <v>934</v>
      </c>
      <c r="L64" s="72" t="s">
        <v>931</v>
      </c>
      <c r="M64" s="118" t="s">
        <v>935</v>
      </c>
    </row>
    <row r="65" spans="1:13" x14ac:dyDescent="0.25">
      <c r="A65" s="3" t="s">
        <v>36</v>
      </c>
      <c r="B65" s="24" t="s">
        <v>936</v>
      </c>
      <c r="C65" s="16" t="s">
        <v>942</v>
      </c>
      <c r="D65" s="16" t="s">
        <v>939</v>
      </c>
      <c r="E65" s="16" t="s">
        <v>911</v>
      </c>
      <c r="F65" s="68" t="s">
        <v>937</v>
      </c>
      <c r="G65" s="16" t="s">
        <v>943</v>
      </c>
      <c r="H65" s="16" t="s">
        <v>940</v>
      </c>
      <c r="I65" s="76" t="s">
        <v>911</v>
      </c>
      <c r="J65" s="16" t="s">
        <v>938</v>
      </c>
      <c r="K65" s="16" t="s">
        <v>944</v>
      </c>
      <c r="L65" s="16" t="s">
        <v>941</v>
      </c>
      <c r="M65" s="76" t="s">
        <v>895</v>
      </c>
    </row>
    <row r="66" spans="1:13" ht="15.75" thickBot="1" x14ac:dyDescent="0.3">
      <c r="A66" s="4" t="s">
        <v>37</v>
      </c>
      <c r="B66" s="68" t="s">
        <v>972</v>
      </c>
      <c r="C66" s="16" t="s">
        <v>978</v>
      </c>
      <c r="D66" s="16" t="s">
        <v>975</v>
      </c>
      <c r="E66" s="16" t="s">
        <v>911</v>
      </c>
      <c r="F66" s="68" t="s">
        <v>973</v>
      </c>
      <c r="G66" s="16" t="s">
        <v>979</v>
      </c>
      <c r="H66" s="16" t="s">
        <v>976</v>
      </c>
      <c r="I66" s="76" t="s">
        <v>911</v>
      </c>
      <c r="J66" s="20" t="s">
        <v>974</v>
      </c>
      <c r="K66" s="16" t="s">
        <v>980</v>
      </c>
      <c r="L66" s="16" t="s">
        <v>977</v>
      </c>
      <c r="M66" s="76" t="s">
        <v>971</v>
      </c>
    </row>
    <row r="67" spans="1:13" x14ac:dyDescent="0.25">
      <c r="A67" s="3" t="s">
        <v>38</v>
      </c>
      <c r="B67" s="81" t="s">
        <v>1005</v>
      </c>
      <c r="C67" s="72" t="s">
        <v>1011</v>
      </c>
      <c r="D67" s="72" t="s">
        <v>1008</v>
      </c>
      <c r="E67" s="72" t="s">
        <v>911</v>
      </c>
      <c r="F67" s="77" t="s">
        <v>1006</v>
      </c>
      <c r="G67" s="72" t="s">
        <v>1012</v>
      </c>
      <c r="H67" s="72" t="s">
        <v>1009</v>
      </c>
      <c r="I67" s="118" t="s">
        <v>911</v>
      </c>
      <c r="J67" s="72" t="s">
        <v>1007</v>
      </c>
      <c r="K67" s="72" t="s">
        <v>1013</v>
      </c>
      <c r="L67" s="72" t="s">
        <v>1010</v>
      </c>
      <c r="M67" s="118" t="s">
        <v>1014</v>
      </c>
    </row>
    <row r="68" spans="1:13" x14ac:dyDescent="0.25">
      <c r="A68" s="3" t="s">
        <v>39</v>
      </c>
      <c r="B68" s="24" t="s">
        <v>997</v>
      </c>
      <c r="C68" s="16" t="s">
        <v>1003</v>
      </c>
      <c r="D68" s="16" t="s">
        <v>1000</v>
      </c>
      <c r="E68" s="16" t="s">
        <v>911</v>
      </c>
      <c r="F68" s="68" t="s">
        <v>998</v>
      </c>
      <c r="G68" s="16" t="s">
        <v>1004</v>
      </c>
      <c r="H68" s="16" t="s">
        <v>1001</v>
      </c>
      <c r="I68" s="76" t="s">
        <v>911</v>
      </c>
      <c r="J68" s="16" t="s">
        <v>999</v>
      </c>
      <c r="K68" s="16" t="s">
        <v>1004</v>
      </c>
      <c r="L68" s="16" t="s">
        <v>1002</v>
      </c>
      <c r="M68" s="76" t="s">
        <v>904</v>
      </c>
    </row>
    <row r="69" spans="1:13" ht="15.75" thickBot="1" x14ac:dyDescent="0.3">
      <c r="A69" s="4" t="s">
        <v>40</v>
      </c>
      <c r="B69" s="82" t="s">
        <v>1015</v>
      </c>
      <c r="C69" s="70" t="s">
        <v>1021</v>
      </c>
      <c r="D69" s="70" t="s">
        <v>1018</v>
      </c>
      <c r="E69" s="70" t="s">
        <v>911</v>
      </c>
      <c r="F69" s="73" t="s">
        <v>1016</v>
      </c>
      <c r="G69" s="70" t="s">
        <v>1022</v>
      </c>
      <c r="H69" s="70" t="s">
        <v>1019</v>
      </c>
      <c r="I69" s="119" t="s">
        <v>911</v>
      </c>
      <c r="J69" s="70" t="s">
        <v>1017</v>
      </c>
      <c r="K69" s="70" t="s">
        <v>1023</v>
      </c>
      <c r="L69" s="70" t="s">
        <v>1020</v>
      </c>
      <c r="M69" s="119" t="s">
        <v>1024</v>
      </c>
    </row>
    <row r="70" spans="1:13" ht="15.75" thickBot="1" x14ac:dyDescent="0.3">
      <c r="A70" s="3" t="s">
        <v>11</v>
      </c>
      <c r="B70" s="68" t="s">
        <v>962</v>
      </c>
      <c r="C70" s="16" t="s">
        <v>968</v>
      </c>
      <c r="D70" s="16" t="s">
        <v>965</v>
      </c>
      <c r="E70" s="16" t="s">
        <v>911</v>
      </c>
      <c r="F70" s="68" t="s">
        <v>963</v>
      </c>
      <c r="G70" s="16" t="s">
        <v>969</v>
      </c>
      <c r="H70" s="16" t="s">
        <v>966</v>
      </c>
      <c r="I70" s="76" t="s">
        <v>905</v>
      </c>
      <c r="J70" s="20" t="s">
        <v>964</v>
      </c>
      <c r="K70" s="16" t="s">
        <v>970</v>
      </c>
      <c r="L70" s="16" t="s">
        <v>967</v>
      </c>
      <c r="M70" s="76" t="s">
        <v>905</v>
      </c>
    </row>
    <row r="71" spans="1:13" ht="15.75" thickBot="1" x14ac:dyDescent="0.3">
      <c r="A71" s="8" t="s">
        <v>8</v>
      </c>
      <c r="B71" s="74" t="s">
        <v>981</v>
      </c>
      <c r="C71" s="75" t="s">
        <v>987</v>
      </c>
      <c r="D71" s="75" t="s">
        <v>984</v>
      </c>
      <c r="E71" s="75" t="s">
        <v>911</v>
      </c>
      <c r="F71" s="83" t="s">
        <v>982</v>
      </c>
      <c r="G71" s="75" t="s">
        <v>988</v>
      </c>
      <c r="H71" s="75" t="s">
        <v>985</v>
      </c>
      <c r="I71" s="120" t="s">
        <v>911</v>
      </c>
      <c r="J71" s="83" t="s">
        <v>983</v>
      </c>
      <c r="K71" s="75" t="s">
        <v>988</v>
      </c>
      <c r="L71" s="75" t="s">
        <v>986</v>
      </c>
      <c r="M71" s="120" t="s">
        <v>911</v>
      </c>
    </row>
    <row r="72" spans="1:13" x14ac:dyDescent="0.25">
      <c r="A72" s="2" t="s">
        <v>4</v>
      </c>
      <c r="B72" s="24" t="s">
        <v>945</v>
      </c>
      <c r="C72" s="16" t="s">
        <v>951</v>
      </c>
      <c r="D72" s="16" t="s">
        <v>948</v>
      </c>
      <c r="E72" s="16" t="s">
        <v>904</v>
      </c>
      <c r="F72" s="68" t="s">
        <v>946</v>
      </c>
      <c r="G72" s="16" t="s">
        <v>952</v>
      </c>
      <c r="H72" s="16" t="s">
        <v>949</v>
      </c>
      <c r="I72" s="76" t="s">
        <v>911</v>
      </c>
      <c r="J72" s="68" t="s">
        <v>947</v>
      </c>
      <c r="K72" s="16" t="s">
        <v>953</v>
      </c>
      <c r="L72" s="16" t="s">
        <v>950</v>
      </c>
      <c r="M72" s="76" t="s">
        <v>911</v>
      </c>
    </row>
    <row r="73" spans="1:13" ht="15.75" thickBot="1" x14ac:dyDescent="0.3">
      <c r="A73" s="4" t="s">
        <v>5</v>
      </c>
      <c r="B73" s="68" t="s">
        <v>1025</v>
      </c>
      <c r="C73" s="16" t="s">
        <v>1031</v>
      </c>
      <c r="D73" s="16" t="s">
        <v>1028</v>
      </c>
      <c r="E73" s="16" t="s">
        <v>911</v>
      </c>
      <c r="F73" s="24" t="s">
        <v>1026</v>
      </c>
      <c r="G73" s="16" t="s">
        <v>1032</v>
      </c>
      <c r="H73" s="16" t="s">
        <v>1029</v>
      </c>
      <c r="I73" s="76" t="s">
        <v>911</v>
      </c>
      <c r="J73" s="73" t="s">
        <v>1027</v>
      </c>
      <c r="K73" s="70" t="s">
        <v>1033</v>
      </c>
      <c r="L73" s="70" t="s">
        <v>1030</v>
      </c>
      <c r="M73" s="119" t="s">
        <v>911</v>
      </c>
    </row>
    <row r="74" spans="1:13" x14ac:dyDescent="0.25">
      <c r="A74" s="2" t="s">
        <v>13</v>
      </c>
      <c r="B74" s="81" t="s">
        <v>954</v>
      </c>
      <c r="C74" s="72" t="s">
        <v>960</v>
      </c>
      <c r="D74" s="72" t="s">
        <v>957</v>
      </c>
      <c r="E74" s="72" t="s">
        <v>911</v>
      </c>
      <c r="F74" s="77" t="s">
        <v>955</v>
      </c>
      <c r="G74" s="72" t="s">
        <v>961</v>
      </c>
      <c r="H74" s="72" t="s">
        <v>958</v>
      </c>
      <c r="I74" s="118" t="s">
        <v>911</v>
      </c>
      <c r="J74" s="72" t="s">
        <v>956</v>
      </c>
      <c r="K74" s="72" t="s">
        <v>961</v>
      </c>
      <c r="L74" s="72" t="s">
        <v>959</v>
      </c>
      <c r="M74" s="118" t="s">
        <v>885</v>
      </c>
    </row>
    <row r="75" spans="1:13" ht="15.75" thickBot="1" x14ac:dyDescent="0.3">
      <c r="A75" s="4" t="s">
        <v>14</v>
      </c>
      <c r="B75" s="82" t="s">
        <v>989</v>
      </c>
      <c r="C75" s="70" t="s">
        <v>995</v>
      </c>
      <c r="D75" s="70" t="s">
        <v>992</v>
      </c>
      <c r="E75" s="70" t="s">
        <v>911</v>
      </c>
      <c r="F75" s="73" t="s">
        <v>990</v>
      </c>
      <c r="G75" s="70" t="s">
        <v>996</v>
      </c>
      <c r="H75" s="70" t="s">
        <v>993</v>
      </c>
      <c r="I75" s="119" t="s">
        <v>911</v>
      </c>
      <c r="J75" s="70" t="s">
        <v>991</v>
      </c>
      <c r="K75" s="70" t="s">
        <v>996</v>
      </c>
      <c r="L75" s="70" t="s">
        <v>994</v>
      </c>
      <c r="M75" s="119" t="s">
        <v>885</v>
      </c>
    </row>
    <row r="78" spans="1:13" ht="15.75" thickBot="1" x14ac:dyDescent="0.3"/>
    <row r="79" spans="1:13" ht="15.75" thickBot="1" x14ac:dyDescent="0.3">
      <c r="A79" s="217" t="s">
        <v>275</v>
      </c>
      <c r="B79" s="218"/>
      <c r="C79" s="218"/>
      <c r="D79" s="218"/>
      <c r="E79" s="218"/>
      <c r="F79" s="218"/>
      <c r="G79" s="218"/>
      <c r="H79" s="218"/>
      <c r="I79" s="219"/>
      <c r="J79" t="s">
        <v>860</v>
      </c>
    </row>
    <row r="80" spans="1:13" x14ac:dyDescent="0.25">
      <c r="A80" s="222" t="s">
        <v>31</v>
      </c>
      <c r="B80" s="225" t="s">
        <v>276</v>
      </c>
      <c r="C80" s="226"/>
      <c r="D80" s="226"/>
      <c r="E80" s="227"/>
      <c r="F80" s="214" t="s">
        <v>277</v>
      </c>
      <c r="G80" s="216"/>
      <c r="H80" s="216"/>
      <c r="I80" s="215"/>
      <c r="J80" s="230"/>
      <c r="K80" s="230"/>
      <c r="L80" s="230"/>
      <c r="M80" s="230"/>
    </row>
    <row r="81" spans="1:16" ht="15.75" thickBot="1" x14ac:dyDescent="0.3">
      <c r="A81" s="223"/>
      <c r="B81" s="3" t="s">
        <v>47</v>
      </c>
      <c r="C81" t="s">
        <v>415</v>
      </c>
      <c r="D81" t="s">
        <v>48</v>
      </c>
      <c r="E81" t="s">
        <v>621</v>
      </c>
      <c r="F81" s="3" t="s">
        <v>47</v>
      </c>
      <c r="G81" t="s">
        <v>415</v>
      </c>
      <c r="H81" t="s">
        <v>48</v>
      </c>
      <c r="I81" s="6" t="s">
        <v>621</v>
      </c>
    </row>
    <row r="82" spans="1:16" x14ac:dyDescent="0.25">
      <c r="A82" s="2" t="s">
        <v>35</v>
      </c>
      <c r="B82" s="77" t="s">
        <v>727</v>
      </c>
      <c r="C82" s="72" t="s">
        <v>731</v>
      </c>
      <c r="D82" s="72" t="s">
        <v>729</v>
      </c>
      <c r="E82" s="14">
        <v>1</v>
      </c>
      <c r="F82" s="81" t="s">
        <v>728</v>
      </c>
      <c r="G82" s="72" t="s">
        <v>731</v>
      </c>
      <c r="H82" s="72" t="s">
        <v>730</v>
      </c>
      <c r="I82" s="5">
        <v>1</v>
      </c>
      <c r="M82" s="19"/>
    </row>
    <row r="83" spans="1:16" x14ac:dyDescent="0.25">
      <c r="A83" s="3" t="s">
        <v>36</v>
      </c>
      <c r="B83" s="68" t="s">
        <v>732</v>
      </c>
      <c r="C83" s="16" t="s">
        <v>736</v>
      </c>
      <c r="D83" s="16" t="s">
        <v>734</v>
      </c>
      <c r="E83">
        <v>1</v>
      </c>
      <c r="F83" s="24" t="s">
        <v>733</v>
      </c>
      <c r="G83" s="16" t="s">
        <v>736</v>
      </c>
      <c r="H83" s="16" t="s">
        <v>735</v>
      </c>
      <c r="I83" s="6">
        <v>1</v>
      </c>
    </row>
    <row r="84" spans="1:16" ht="15.75" thickBot="1" x14ac:dyDescent="0.3">
      <c r="A84" s="4" t="s">
        <v>37</v>
      </c>
      <c r="B84" s="82" t="s">
        <v>743</v>
      </c>
      <c r="C84" s="70" t="s">
        <v>747</v>
      </c>
      <c r="D84" s="70" t="s">
        <v>745</v>
      </c>
      <c r="E84" s="15">
        <v>1</v>
      </c>
      <c r="F84" s="73" t="s">
        <v>744</v>
      </c>
      <c r="G84" s="70" t="s">
        <v>747</v>
      </c>
      <c r="H84" s="70" t="s">
        <v>746</v>
      </c>
      <c r="I84" s="7">
        <v>1</v>
      </c>
    </row>
    <row r="85" spans="1:16" x14ac:dyDescent="0.25">
      <c r="A85" s="3" t="s">
        <v>38</v>
      </c>
      <c r="B85" s="68" t="s">
        <v>771</v>
      </c>
      <c r="C85" s="16" t="s">
        <v>775</v>
      </c>
      <c r="D85" s="16" t="s">
        <v>773</v>
      </c>
      <c r="E85">
        <v>1</v>
      </c>
      <c r="F85" s="24" t="s">
        <v>772</v>
      </c>
      <c r="G85" s="16" t="s">
        <v>776</v>
      </c>
      <c r="H85" s="16" t="s">
        <v>774</v>
      </c>
      <c r="I85" s="6">
        <v>1</v>
      </c>
    </row>
    <row r="86" spans="1:16" x14ac:dyDescent="0.25">
      <c r="A86" s="3" t="s">
        <v>39</v>
      </c>
      <c r="B86" s="24" t="s">
        <v>760</v>
      </c>
      <c r="C86" s="16" t="s">
        <v>764</v>
      </c>
      <c r="D86" s="16" t="s">
        <v>762</v>
      </c>
      <c r="E86">
        <v>1</v>
      </c>
      <c r="F86" s="68" t="s">
        <v>761</v>
      </c>
      <c r="G86" s="16" t="s">
        <v>764</v>
      </c>
      <c r="H86" s="16" t="s">
        <v>763</v>
      </c>
      <c r="I86" s="6">
        <v>1</v>
      </c>
    </row>
    <row r="87" spans="1:16" ht="15.75" thickBot="1" x14ac:dyDescent="0.3">
      <c r="A87" s="4" t="s">
        <v>40</v>
      </c>
      <c r="B87" s="24" t="s">
        <v>777</v>
      </c>
      <c r="C87" s="16" t="s">
        <v>781</v>
      </c>
      <c r="D87" s="16" t="s">
        <v>779</v>
      </c>
      <c r="E87">
        <v>1</v>
      </c>
      <c r="F87" s="68" t="s">
        <v>778</v>
      </c>
      <c r="G87" s="16" t="s">
        <v>781</v>
      </c>
      <c r="H87" s="16" t="s">
        <v>780</v>
      </c>
      <c r="I87" s="6">
        <v>1</v>
      </c>
    </row>
    <row r="88" spans="1:16" ht="15.75" thickBot="1" x14ac:dyDescent="0.3">
      <c r="A88" s="3" t="s">
        <v>11</v>
      </c>
      <c r="B88" s="2"/>
      <c r="C88" s="14"/>
      <c r="D88" s="14"/>
      <c r="E88" s="14">
        <v>1</v>
      </c>
      <c r="F88" s="2"/>
      <c r="G88" s="14"/>
      <c r="H88" s="14"/>
      <c r="I88" s="5">
        <v>1</v>
      </c>
    </row>
    <row r="89" spans="1:16" ht="15.75" thickBot="1" x14ac:dyDescent="0.3">
      <c r="A89" s="8" t="s">
        <v>8</v>
      </c>
      <c r="B89" s="121" t="s">
        <v>855</v>
      </c>
      <c r="C89" s="85" t="s">
        <v>423</v>
      </c>
      <c r="D89" s="86" t="s">
        <v>857</v>
      </c>
      <c r="E89" s="1">
        <v>1</v>
      </c>
      <c r="F89" s="87" t="s">
        <v>854</v>
      </c>
      <c r="G89" s="85" t="s">
        <v>858</v>
      </c>
      <c r="H89" s="85" t="s">
        <v>856</v>
      </c>
      <c r="I89" s="13">
        <v>1</v>
      </c>
      <c r="J89" s="84" t="s">
        <v>859</v>
      </c>
    </row>
    <row r="90" spans="1:16" x14ac:dyDescent="0.25">
      <c r="A90" s="2" t="s">
        <v>4</v>
      </c>
      <c r="B90" s="24" t="s">
        <v>748</v>
      </c>
      <c r="C90" s="16" t="s">
        <v>752</v>
      </c>
      <c r="D90" s="16" t="s">
        <v>750</v>
      </c>
      <c r="E90">
        <v>1</v>
      </c>
      <c r="F90" s="24" t="s">
        <v>749</v>
      </c>
      <c r="G90" s="16" t="s">
        <v>753</v>
      </c>
      <c r="H90" s="16" t="s">
        <v>751</v>
      </c>
      <c r="I90" s="6">
        <v>1</v>
      </c>
    </row>
    <row r="91" spans="1:16" ht="15.75" thickBot="1" x14ac:dyDescent="0.3">
      <c r="A91" s="4" t="s">
        <v>5</v>
      </c>
      <c r="B91" s="82" t="s">
        <v>754</v>
      </c>
      <c r="C91" s="70" t="s">
        <v>756</v>
      </c>
      <c r="D91" s="70" t="s">
        <v>755</v>
      </c>
      <c r="E91" s="15">
        <v>1</v>
      </c>
      <c r="F91" s="73" t="s">
        <v>757</v>
      </c>
      <c r="G91" s="70" t="s">
        <v>759</v>
      </c>
      <c r="H91" s="70" t="s">
        <v>758</v>
      </c>
      <c r="I91" s="7">
        <v>1</v>
      </c>
      <c r="L91" s="16"/>
      <c r="M91" s="16"/>
      <c r="N91" s="16"/>
      <c r="O91" s="16"/>
      <c r="P91" s="16"/>
    </row>
    <row r="92" spans="1:16" x14ac:dyDescent="0.25">
      <c r="A92" s="2" t="s">
        <v>13</v>
      </c>
      <c r="B92" s="18" t="s">
        <v>737</v>
      </c>
      <c r="C92" t="s">
        <v>741</v>
      </c>
      <c r="D92" t="s">
        <v>739</v>
      </c>
      <c r="E92">
        <v>1</v>
      </c>
      <c r="F92" s="18" t="s">
        <v>738</v>
      </c>
      <c r="G92" t="s">
        <v>742</v>
      </c>
      <c r="H92" t="s">
        <v>740</v>
      </c>
      <c r="I92" s="6">
        <v>1</v>
      </c>
      <c r="L92" s="16"/>
      <c r="M92" s="16"/>
      <c r="N92" s="16"/>
      <c r="O92" s="16"/>
      <c r="P92" s="16"/>
    </row>
    <row r="93" spans="1:16" ht="15.75" thickBot="1" x14ac:dyDescent="0.3">
      <c r="A93" s="4" t="s">
        <v>14</v>
      </c>
      <c r="B93" s="82" t="s">
        <v>765</v>
      </c>
      <c r="C93" s="70" t="s">
        <v>769</v>
      </c>
      <c r="D93" s="70" t="s">
        <v>767</v>
      </c>
      <c r="E93" s="15">
        <v>1</v>
      </c>
      <c r="F93" s="73" t="s">
        <v>766</v>
      </c>
      <c r="G93" s="70" t="s">
        <v>770</v>
      </c>
      <c r="H93" s="70" t="s">
        <v>768</v>
      </c>
      <c r="I93" s="7">
        <v>1</v>
      </c>
    </row>
    <row r="96" spans="1:16" ht="15.75" thickBot="1" x14ac:dyDescent="0.3"/>
    <row r="97" spans="1:24" ht="15.75" thickBot="1" x14ac:dyDescent="0.3">
      <c r="A97" s="217" t="s">
        <v>802</v>
      </c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9"/>
      <c r="R97" s="16"/>
      <c r="S97" s="16"/>
      <c r="T97" s="16"/>
      <c r="U97" s="16"/>
      <c r="V97" s="16"/>
      <c r="W97" s="16"/>
      <c r="X97" s="16"/>
    </row>
    <row r="98" spans="1:24" x14ac:dyDescent="0.25">
      <c r="A98" s="222" t="s">
        <v>31</v>
      </c>
      <c r="B98" s="220" t="s">
        <v>276</v>
      </c>
      <c r="C98" s="221"/>
      <c r="D98" s="221"/>
      <c r="E98" s="224"/>
      <c r="F98" s="214" t="s">
        <v>335</v>
      </c>
      <c r="G98" s="216"/>
      <c r="H98" s="216"/>
      <c r="I98" s="215"/>
      <c r="J98" s="214" t="s">
        <v>336</v>
      </c>
      <c r="K98" s="216"/>
      <c r="L98" s="216"/>
      <c r="M98" s="215"/>
      <c r="N98" s="214" t="s">
        <v>337</v>
      </c>
      <c r="O98" s="216"/>
      <c r="P98" s="216"/>
      <c r="Q98" s="215"/>
      <c r="R98" s="16"/>
      <c r="S98" s="16"/>
      <c r="T98" s="16"/>
      <c r="U98" s="16"/>
      <c r="V98" s="16"/>
      <c r="W98" s="16"/>
      <c r="X98" s="16"/>
    </row>
    <row r="99" spans="1:24" ht="15.75" thickBot="1" x14ac:dyDescent="0.3">
      <c r="A99" s="223"/>
      <c r="B99" s="3" t="s">
        <v>47</v>
      </c>
      <c r="C99" t="s">
        <v>415</v>
      </c>
      <c r="D99" t="s">
        <v>48</v>
      </c>
      <c r="E99" t="s">
        <v>621</v>
      </c>
      <c r="F99" s="3" t="s">
        <v>47</v>
      </c>
      <c r="G99" t="s">
        <v>415</v>
      </c>
      <c r="H99" t="s">
        <v>48</v>
      </c>
      <c r="I99" t="s">
        <v>621</v>
      </c>
      <c r="J99" t="s">
        <v>47</v>
      </c>
      <c r="K99" t="s">
        <v>415</v>
      </c>
      <c r="L99" t="s">
        <v>48</v>
      </c>
      <c r="M99" t="s">
        <v>621</v>
      </c>
      <c r="N99" t="s">
        <v>47</v>
      </c>
      <c r="O99" t="s">
        <v>415</v>
      </c>
      <c r="P99" t="s">
        <v>48</v>
      </c>
      <c r="Q99" t="s">
        <v>621</v>
      </c>
      <c r="R99" s="16"/>
      <c r="S99" s="16"/>
      <c r="T99" s="16"/>
      <c r="U99" s="16"/>
      <c r="V99" s="16"/>
      <c r="W99" s="16"/>
      <c r="X99" s="16"/>
    </row>
    <row r="100" spans="1:24" x14ac:dyDescent="0.25">
      <c r="A100" s="2" t="s">
        <v>35</v>
      </c>
      <c r="B100" s="89"/>
      <c r="C100" s="90"/>
      <c r="D100" s="90"/>
      <c r="E100" s="97"/>
      <c r="F100" s="2"/>
      <c r="G100" s="14"/>
      <c r="H100" s="14"/>
      <c r="I100" s="5"/>
      <c r="J100" s="14"/>
      <c r="K100" s="14"/>
      <c r="L100" s="14"/>
      <c r="M100" s="14"/>
      <c r="N100" s="2"/>
      <c r="O100" s="14"/>
      <c r="P100" s="14"/>
      <c r="Q100" s="5"/>
      <c r="R100" s="16"/>
      <c r="S100" s="16"/>
      <c r="T100" s="16"/>
      <c r="U100" s="16"/>
      <c r="V100" s="16"/>
      <c r="W100" s="16"/>
      <c r="X100" s="16"/>
    </row>
    <row r="101" spans="1:24" x14ac:dyDescent="0.25">
      <c r="A101" s="3" t="s">
        <v>36</v>
      </c>
      <c r="B101" s="92"/>
      <c r="C101" s="84"/>
      <c r="D101" s="84"/>
      <c r="E101" s="88"/>
      <c r="F101" s="63"/>
      <c r="G101" s="64"/>
      <c r="H101" s="64"/>
      <c r="I101" s="6"/>
      <c r="J101" s="64"/>
      <c r="K101" s="64"/>
      <c r="L101" s="64"/>
      <c r="N101" s="63"/>
      <c r="O101" s="64"/>
      <c r="P101" s="64"/>
      <c r="Q101" s="6"/>
      <c r="R101" s="16"/>
      <c r="S101" s="16"/>
      <c r="T101" s="16"/>
      <c r="U101" s="16"/>
      <c r="V101" s="16"/>
      <c r="W101" s="16"/>
      <c r="X101" s="16"/>
    </row>
    <row r="102" spans="1:24" ht="15.75" thickBot="1" x14ac:dyDescent="0.3">
      <c r="A102" s="4" t="s">
        <v>37</v>
      </c>
      <c r="B102" s="92"/>
      <c r="C102" s="84"/>
      <c r="D102" s="84"/>
      <c r="E102" s="88"/>
      <c r="F102" s="3"/>
      <c r="I102" s="6"/>
      <c r="N102" s="3"/>
      <c r="Q102" s="6"/>
      <c r="R102" s="16"/>
      <c r="S102" s="16"/>
      <c r="T102" s="16"/>
      <c r="U102" s="16"/>
      <c r="V102" s="16"/>
      <c r="W102" s="16"/>
      <c r="X102" s="16"/>
    </row>
    <row r="103" spans="1:24" x14ac:dyDescent="0.25">
      <c r="A103" s="3" t="s">
        <v>38</v>
      </c>
      <c r="B103" s="98" t="s">
        <v>889</v>
      </c>
      <c r="C103" s="99" t="s">
        <v>894</v>
      </c>
      <c r="D103" s="99" t="s">
        <v>890</v>
      </c>
      <c r="E103" s="99" t="s">
        <v>895</v>
      </c>
      <c r="F103" s="98" t="s">
        <v>889</v>
      </c>
      <c r="G103" s="99" t="s">
        <v>894</v>
      </c>
      <c r="H103" s="99" t="s">
        <v>891</v>
      </c>
      <c r="I103" s="100" t="s">
        <v>896</v>
      </c>
      <c r="J103" s="99" t="s">
        <v>889</v>
      </c>
      <c r="K103" s="99" t="s">
        <v>894</v>
      </c>
      <c r="L103" s="99" t="s">
        <v>892</v>
      </c>
      <c r="M103" s="99" t="s">
        <v>886</v>
      </c>
      <c r="N103" s="98" t="s">
        <v>889</v>
      </c>
      <c r="O103" s="99" t="s">
        <v>894</v>
      </c>
      <c r="P103" s="99" t="s">
        <v>893</v>
      </c>
      <c r="Q103" s="100" t="s">
        <v>897</v>
      </c>
      <c r="R103" s="16"/>
      <c r="S103" s="16"/>
      <c r="T103" s="16"/>
      <c r="U103" s="16"/>
      <c r="V103" s="16"/>
      <c r="W103" s="16"/>
      <c r="X103" s="16"/>
    </row>
    <row r="104" spans="1:24" x14ac:dyDescent="0.25">
      <c r="A104" s="3" t="s">
        <v>39</v>
      </c>
      <c r="B104" s="101" t="s">
        <v>877</v>
      </c>
      <c r="C104" s="102" t="s">
        <v>883</v>
      </c>
      <c r="D104" s="102" t="s">
        <v>879</v>
      </c>
      <c r="E104" s="102" t="s">
        <v>885</v>
      </c>
      <c r="F104" s="101" t="s">
        <v>878</v>
      </c>
      <c r="G104" s="102" t="s">
        <v>884</v>
      </c>
      <c r="H104" s="102" t="s">
        <v>880</v>
      </c>
      <c r="I104" s="103" t="s">
        <v>886</v>
      </c>
      <c r="J104" s="102" t="s">
        <v>877</v>
      </c>
      <c r="K104" s="102" t="s">
        <v>883</v>
      </c>
      <c r="L104" s="102" t="s">
        <v>881</v>
      </c>
      <c r="M104" s="102" t="s">
        <v>887</v>
      </c>
      <c r="N104" s="101" t="s">
        <v>877</v>
      </c>
      <c r="O104" s="102" t="s">
        <v>883</v>
      </c>
      <c r="P104" s="102" t="s">
        <v>882</v>
      </c>
      <c r="Q104" s="103" t="s">
        <v>888</v>
      </c>
      <c r="R104" s="16"/>
      <c r="S104" s="16"/>
      <c r="T104" s="16"/>
      <c r="U104" s="16"/>
      <c r="V104" s="16"/>
      <c r="W104" s="16"/>
      <c r="X104" s="16"/>
    </row>
    <row r="105" spans="1:24" ht="15.75" thickBot="1" x14ac:dyDescent="0.3">
      <c r="A105" s="4" t="s">
        <v>40</v>
      </c>
      <c r="B105" s="104"/>
      <c r="C105" s="105"/>
      <c r="D105" s="106"/>
      <c r="E105" s="106"/>
      <c r="F105" s="107"/>
      <c r="G105" s="108"/>
      <c r="H105" s="108"/>
      <c r="I105" s="109"/>
      <c r="J105" s="108"/>
      <c r="K105" s="108"/>
      <c r="L105" s="108"/>
      <c r="M105" s="106"/>
      <c r="N105" s="104"/>
      <c r="O105" s="108"/>
      <c r="P105" s="108"/>
      <c r="Q105" s="109"/>
      <c r="R105" s="16"/>
      <c r="S105" s="16"/>
      <c r="T105" s="16"/>
      <c r="U105" s="16"/>
      <c r="V105" s="16"/>
      <c r="W105" s="16"/>
      <c r="X105" s="16"/>
    </row>
    <row r="106" spans="1:24" ht="15.75" thickBot="1" x14ac:dyDescent="0.3">
      <c r="A106" s="3" t="s">
        <v>11</v>
      </c>
      <c r="B106" s="55" t="s">
        <v>821</v>
      </c>
      <c r="C106" s="56" t="s">
        <v>826</v>
      </c>
      <c r="D106" s="56" t="s">
        <v>822</v>
      </c>
      <c r="E106" s="60">
        <v>1</v>
      </c>
      <c r="F106" s="55" t="s">
        <v>821</v>
      </c>
      <c r="G106" s="56" t="s">
        <v>826</v>
      </c>
      <c r="H106" s="56" t="s">
        <v>823</v>
      </c>
      <c r="I106" s="61">
        <v>0.54</v>
      </c>
      <c r="J106" s="56" t="s">
        <v>821</v>
      </c>
      <c r="K106" s="56" t="s">
        <v>826</v>
      </c>
      <c r="L106" s="56" t="s">
        <v>824</v>
      </c>
      <c r="M106" s="60">
        <v>0.94</v>
      </c>
      <c r="N106" s="55" t="s">
        <v>821</v>
      </c>
      <c r="O106" s="56" t="s">
        <v>826</v>
      </c>
      <c r="P106" s="56" t="s">
        <v>825</v>
      </c>
      <c r="Q106" s="61">
        <v>0.94</v>
      </c>
      <c r="R106" s="16"/>
      <c r="S106" s="16"/>
      <c r="T106" s="16"/>
      <c r="U106" s="16"/>
      <c r="V106" s="16"/>
      <c r="W106" s="16"/>
      <c r="X106" s="16"/>
    </row>
    <row r="107" spans="1:24" ht="15.75" thickBot="1" x14ac:dyDescent="0.3">
      <c r="A107" s="8" t="s">
        <v>8</v>
      </c>
      <c r="B107" s="110" t="s">
        <v>804</v>
      </c>
      <c r="C107" s="105" t="s">
        <v>809</v>
      </c>
      <c r="D107" s="105" t="s">
        <v>810</v>
      </c>
      <c r="E107" s="106">
        <v>0.84</v>
      </c>
      <c r="F107" s="110" t="s">
        <v>804</v>
      </c>
      <c r="G107" s="105" t="s">
        <v>809</v>
      </c>
      <c r="H107" s="105" t="s">
        <v>811</v>
      </c>
      <c r="I107" s="109">
        <v>0.86</v>
      </c>
      <c r="J107" s="105" t="s">
        <v>804</v>
      </c>
      <c r="K107" s="105" t="s">
        <v>809</v>
      </c>
      <c r="L107" s="105" t="s">
        <v>805</v>
      </c>
      <c r="M107" s="106">
        <v>0.84</v>
      </c>
      <c r="N107" s="110" t="s">
        <v>804</v>
      </c>
      <c r="O107" s="105" t="s">
        <v>809</v>
      </c>
      <c r="P107" s="105" t="s">
        <v>812</v>
      </c>
      <c r="Q107" s="109">
        <v>0.84</v>
      </c>
      <c r="R107" s="16"/>
      <c r="S107" s="16"/>
      <c r="T107" s="16"/>
      <c r="U107" s="16"/>
      <c r="V107" s="16"/>
      <c r="W107" s="16"/>
      <c r="X107" s="16"/>
    </row>
    <row r="108" spans="1:24" x14ac:dyDescent="0.25">
      <c r="A108" s="2" t="s">
        <v>4</v>
      </c>
      <c r="B108" s="62" t="s">
        <v>813</v>
      </c>
      <c r="C108" s="57" t="s">
        <v>817</v>
      </c>
      <c r="D108" s="57" t="s">
        <v>814</v>
      </c>
      <c r="E108" s="58">
        <v>0.74</v>
      </c>
      <c r="F108" s="62" t="s">
        <v>813</v>
      </c>
      <c r="G108" s="57" t="s">
        <v>817</v>
      </c>
      <c r="H108" s="57" t="s">
        <v>421</v>
      </c>
      <c r="I108" s="59">
        <v>0.34</v>
      </c>
      <c r="J108" s="57" t="s">
        <v>813</v>
      </c>
      <c r="K108" s="57" t="s">
        <v>817</v>
      </c>
      <c r="L108" s="57" t="s">
        <v>815</v>
      </c>
      <c r="M108" s="58">
        <v>0.88</v>
      </c>
      <c r="N108" s="62" t="s">
        <v>813</v>
      </c>
      <c r="O108" s="57" t="s">
        <v>817</v>
      </c>
      <c r="P108" s="57" t="s">
        <v>816</v>
      </c>
      <c r="Q108" s="59">
        <v>0.86</v>
      </c>
      <c r="R108" s="16"/>
      <c r="S108" s="16"/>
      <c r="T108" s="16"/>
      <c r="U108" s="16"/>
      <c r="V108" s="16"/>
      <c r="W108" s="16"/>
      <c r="X108" s="16"/>
    </row>
    <row r="109" spans="1:24" ht="15.75" thickBot="1" x14ac:dyDescent="0.3">
      <c r="A109" s="4" t="s">
        <v>5</v>
      </c>
      <c r="B109" s="111" t="s">
        <v>861</v>
      </c>
      <c r="C109" s="112" t="s">
        <v>869</v>
      </c>
      <c r="D109" s="112" t="s">
        <v>865</v>
      </c>
      <c r="E109" s="112" t="s">
        <v>873</v>
      </c>
      <c r="F109" s="111" t="s">
        <v>862</v>
      </c>
      <c r="G109" s="112" t="s">
        <v>870</v>
      </c>
      <c r="H109" s="112" t="s">
        <v>866</v>
      </c>
      <c r="I109" s="113" t="s">
        <v>874</v>
      </c>
      <c r="J109" s="112" t="s">
        <v>863</v>
      </c>
      <c r="K109" s="112" t="s">
        <v>871</v>
      </c>
      <c r="L109" s="112" t="s">
        <v>867</v>
      </c>
      <c r="M109" s="112" t="s">
        <v>875</v>
      </c>
      <c r="N109" s="111" t="s">
        <v>864</v>
      </c>
      <c r="O109" s="112" t="s">
        <v>872</v>
      </c>
      <c r="P109" s="112" t="s">
        <v>868</v>
      </c>
      <c r="Q109" s="113" t="s">
        <v>876</v>
      </c>
      <c r="R109" s="16"/>
      <c r="S109" s="16"/>
      <c r="T109" s="16"/>
      <c r="U109" s="16"/>
      <c r="V109" s="16"/>
      <c r="W109" s="16"/>
      <c r="X109" s="16"/>
    </row>
    <row r="110" spans="1:24" x14ac:dyDescent="0.25">
      <c r="A110" s="2" t="s">
        <v>13</v>
      </c>
      <c r="B110" s="110" t="s">
        <v>782</v>
      </c>
      <c r="C110" s="105" t="s">
        <v>798</v>
      </c>
      <c r="D110" s="105" t="s">
        <v>790</v>
      </c>
      <c r="E110" s="106">
        <v>0.96</v>
      </c>
      <c r="F110" s="110" t="s">
        <v>783</v>
      </c>
      <c r="G110" s="105" t="s">
        <v>799</v>
      </c>
      <c r="H110" s="105" t="s">
        <v>791</v>
      </c>
      <c r="I110" s="109">
        <v>0.88</v>
      </c>
      <c r="J110" s="105" t="s">
        <v>784</v>
      </c>
      <c r="K110" s="105" t="s">
        <v>798</v>
      </c>
      <c r="L110" s="105" t="s">
        <v>792</v>
      </c>
      <c r="M110" s="106">
        <v>0.96</v>
      </c>
      <c r="N110" s="110" t="s">
        <v>785</v>
      </c>
      <c r="O110" s="105" t="s">
        <v>798</v>
      </c>
      <c r="P110" s="105" t="s">
        <v>793</v>
      </c>
      <c r="Q110" s="109">
        <v>0.94</v>
      </c>
      <c r="R110" s="16"/>
      <c r="S110" s="16"/>
      <c r="T110" s="16"/>
      <c r="U110" s="16"/>
      <c r="V110" s="16"/>
      <c r="W110" s="16"/>
      <c r="X110" s="16"/>
    </row>
    <row r="111" spans="1:24" ht="15.75" thickBot="1" x14ac:dyDescent="0.3">
      <c r="A111" s="4" t="s">
        <v>14</v>
      </c>
      <c r="B111" s="114" t="s">
        <v>831</v>
      </c>
      <c r="C111" s="115" t="s">
        <v>839</v>
      </c>
      <c r="D111" s="115" t="s">
        <v>835</v>
      </c>
      <c r="E111" s="116">
        <v>0.86</v>
      </c>
      <c r="F111" s="114" t="s">
        <v>832</v>
      </c>
      <c r="G111" s="115" t="s">
        <v>840</v>
      </c>
      <c r="H111" s="115" t="s">
        <v>836</v>
      </c>
      <c r="I111" s="117">
        <v>0.64</v>
      </c>
      <c r="J111" s="115" t="s">
        <v>833</v>
      </c>
      <c r="K111" s="115" t="s">
        <v>841</v>
      </c>
      <c r="L111" s="115" t="s">
        <v>837</v>
      </c>
      <c r="M111" s="116">
        <v>0.7</v>
      </c>
      <c r="N111" s="114" t="s">
        <v>834</v>
      </c>
      <c r="O111" s="115" t="s">
        <v>842</v>
      </c>
      <c r="P111" s="115" t="s">
        <v>838</v>
      </c>
      <c r="Q111" s="117">
        <v>0.62</v>
      </c>
      <c r="R111" s="16"/>
      <c r="S111" s="16"/>
      <c r="T111" s="16"/>
      <c r="U111" s="16"/>
      <c r="V111" s="16"/>
      <c r="W111" s="16"/>
      <c r="X111" s="16"/>
    </row>
    <row r="112" spans="1:24" x14ac:dyDescent="0.25">
      <c r="R112" s="16"/>
      <c r="S112" s="16"/>
      <c r="T112" s="16"/>
      <c r="U112" s="16"/>
      <c r="V112" s="16"/>
      <c r="W112" s="16"/>
      <c r="X112" s="16"/>
    </row>
    <row r="113" spans="1:24" x14ac:dyDescent="0.25">
      <c r="R113" s="16"/>
      <c r="S113" s="16"/>
      <c r="T113" s="16"/>
      <c r="U113" s="16"/>
      <c r="V113" s="16"/>
      <c r="W113" s="16"/>
      <c r="X113" s="16"/>
    </row>
    <row r="114" spans="1:24" ht="15.75" thickBot="1" x14ac:dyDescent="0.3"/>
    <row r="115" spans="1:24" ht="15.75" thickBot="1" x14ac:dyDescent="0.3">
      <c r="A115" s="217" t="s">
        <v>803</v>
      </c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9"/>
    </row>
    <row r="116" spans="1:24" x14ac:dyDescent="0.25">
      <c r="A116" s="222" t="s">
        <v>31</v>
      </c>
      <c r="B116" s="220" t="s">
        <v>276</v>
      </c>
      <c r="C116" s="221"/>
      <c r="D116" s="221"/>
      <c r="E116" s="224"/>
      <c r="F116" s="214" t="s">
        <v>335</v>
      </c>
      <c r="G116" s="216"/>
      <c r="H116" s="216"/>
      <c r="I116" s="215"/>
      <c r="J116" s="216" t="s">
        <v>336</v>
      </c>
      <c r="K116" s="216"/>
      <c r="L116" s="216"/>
      <c r="M116" s="216"/>
      <c r="N116" s="214" t="s">
        <v>337</v>
      </c>
      <c r="O116" s="216"/>
      <c r="P116" s="216"/>
      <c r="Q116" s="215"/>
    </row>
    <row r="117" spans="1:24" ht="15.75" thickBot="1" x14ac:dyDescent="0.3">
      <c r="A117" s="223"/>
      <c r="B117" s="3" t="s">
        <v>47</v>
      </c>
      <c r="C117" t="s">
        <v>415</v>
      </c>
      <c r="D117" t="s">
        <v>48</v>
      </c>
      <c r="E117" t="s">
        <v>621</v>
      </c>
      <c r="F117" s="3" t="s">
        <v>47</v>
      </c>
      <c r="G117" t="s">
        <v>415</v>
      </c>
      <c r="H117" t="s">
        <v>48</v>
      </c>
      <c r="I117" s="6" t="s">
        <v>621</v>
      </c>
      <c r="J117" t="s">
        <v>47</v>
      </c>
      <c r="K117" t="s">
        <v>415</v>
      </c>
      <c r="L117" t="s">
        <v>48</v>
      </c>
      <c r="M117" t="s">
        <v>621</v>
      </c>
      <c r="N117" s="3" t="s">
        <v>47</v>
      </c>
      <c r="O117" t="s">
        <v>415</v>
      </c>
      <c r="P117" t="s">
        <v>48</v>
      </c>
      <c r="Q117" s="6" t="s">
        <v>621</v>
      </c>
    </row>
    <row r="118" spans="1:24" x14ac:dyDescent="0.25">
      <c r="A118" s="2" t="s">
        <v>35</v>
      </c>
      <c r="B118" s="2"/>
      <c r="C118" s="14"/>
      <c r="D118" s="14"/>
      <c r="E118" s="14"/>
      <c r="F118" s="2"/>
      <c r="G118" s="14"/>
      <c r="H118" s="14"/>
      <c r="I118" s="5"/>
      <c r="J118" s="14"/>
      <c r="K118" s="14"/>
      <c r="L118" s="14"/>
      <c r="M118" s="14"/>
      <c r="N118" s="2"/>
      <c r="O118" s="14"/>
      <c r="P118" s="14"/>
      <c r="Q118" s="5"/>
    </row>
    <row r="119" spans="1:24" x14ac:dyDescent="0.25">
      <c r="A119" s="3" t="s">
        <v>36</v>
      </c>
      <c r="B119" s="3"/>
      <c r="F119" s="63"/>
      <c r="G119" s="64"/>
      <c r="H119" s="64"/>
      <c r="I119" s="6"/>
      <c r="J119" s="64"/>
      <c r="K119" s="64"/>
      <c r="L119" s="64"/>
      <c r="N119" s="63"/>
      <c r="O119" s="64"/>
      <c r="P119" s="64"/>
      <c r="Q119" s="6"/>
    </row>
    <row r="120" spans="1:24" ht="15.75" thickBot="1" x14ac:dyDescent="0.3">
      <c r="A120" s="4" t="s">
        <v>37</v>
      </c>
      <c r="B120" s="3"/>
      <c r="F120" s="3"/>
      <c r="I120" s="6"/>
      <c r="N120" s="3"/>
      <c r="Q120" s="6"/>
    </row>
    <row r="121" spans="1:24" x14ac:dyDescent="0.25">
      <c r="A121" s="3" t="s">
        <v>38</v>
      </c>
      <c r="B121" s="89" t="s">
        <v>889</v>
      </c>
      <c r="C121" s="90" t="s">
        <v>894</v>
      </c>
      <c r="D121" s="90" t="s">
        <v>898</v>
      </c>
      <c r="E121" s="90" t="s">
        <v>902</v>
      </c>
      <c r="F121" s="89" t="s">
        <v>889</v>
      </c>
      <c r="G121" s="90" t="s">
        <v>894</v>
      </c>
      <c r="H121" s="90" t="s">
        <v>899</v>
      </c>
      <c r="I121" s="91" t="s">
        <v>903</v>
      </c>
      <c r="J121" s="90" t="s">
        <v>889</v>
      </c>
      <c r="K121" s="90" t="s">
        <v>894</v>
      </c>
      <c r="L121" s="90" t="s">
        <v>900</v>
      </c>
      <c r="M121" s="90" t="s">
        <v>904</v>
      </c>
      <c r="N121" s="89" t="s">
        <v>889</v>
      </c>
      <c r="O121" s="90" t="s">
        <v>894</v>
      </c>
      <c r="P121" s="90" t="s">
        <v>901</v>
      </c>
      <c r="Q121" s="91" t="s">
        <v>905</v>
      </c>
    </row>
    <row r="122" spans="1:24" x14ac:dyDescent="0.25">
      <c r="A122" s="3" t="s">
        <v>39</v>
      </c>
      <c r="B122" s="92" t="s">
        <v>877</v>
      </c>
      <c r="C122" s="84" t="s">
        <v>883</v>
      </c>
      <c r="D122" s="84" t="s">
        <v>906</v>
      </c>
      <c r="E122" s="84" t="s">
        <v>910</v>
      </c>
      <c r="F122" s="92" t="s">
        <v>877</v>
      </c>
      <c r="G122" s="84" t="s">
        <v>883</v>
      </c>
      <c r="H122" s="84" t="s">
        <v>907</v>
      </c>
      <c r="I122" s="93" t="s">
        <v>905</v>
      </c>
      <c r="J122" s="84" t="s">
        <v>877</v>
      </c>
      <c r="K122" s="84" t="s">
        <v>883</v>
      </c>
      <c r="L122" s="84" t="s">
        <v>908</v>
      </c>
      <c r="M122" s="84" t="s">
        <v>904</v>
      </c>
      <c r="N122" s="92" t="s">
        <v>877</v>
      </c>
      <c r="O122" s="84" t="s">
        <v>883</v>
      </c>
      <c r="P122" s="84" t="s">
        <v>909</v>
      </c>
      <c r="Q122" s="93" t="s">
        <v>911</v>
      </c>
    </row>
    <row r="123" spans="1:24" ht="15.75" thickBot="1" x14ac:dyDescent="0.3">
      <c r="A123" s="4" t="s">
        <v>40</v>
      </c>
      <c r="B123" s="4"/>
      <c r="C123" s="15"/>
      <c r="D123" s="15"/>
      <c r="E123" s="15"/>
      <c r="F123" s="66"/>
      <c r="G123" s="67"/>
      <c r="H123" s="67"/>
      <c r="I123" s="7"/>
      <c r="J123" s="67"/>
      <c r="K123" s="67"/>
      <c r="L123" s="67"/>
      <c r="M123" s="15"/>
      <c r="N123" s="66"/>
      <c r="O123" s="67"/>
      <c r="P123" s="67"/>
      <c r="Q123" s="7"/>
    </row>
    <row r="124" spans="1:24" ht="15.75" thickBot="1" x14ac:dyDescent="0.3">
      <c r="A124" s="3" t="s">
        <v>11</v>
      </c>
      <c r="B124" s="73" t="s">
        <v>821</v>
      </c>
      <c r="C124" s="70" t="s">
        <v>826</v>
      </c>
      <c r="D124" s="69" t="s">
        <v>830</v>
      </c>
      <c r="E124" s="15">
        <v>0.28000000000000003</v>
      </c>
      <c r="F124" s="73" t="s">
        <v>821</v>
      </c>
      <c r="G124" s="70" t="s">
        <v>826</v>
      </c>
      <c r="H124" s="69" t="s">
        <v>829</v>
      </c>
      <c r="I124" s="7">
        <v>0.4</v>
      </c>
      <c r="J124" s="70" t="s">
        <v>821</v>
      </c>
      <c r="K124" s="70" t="s">
        <v>826</v>
      </c>
      <c r="L124" s="69" t="s">
        <v>828</v>
      </c>
      <c r="M124" s="15">
        <v>0.96</v>
      </c>
      <c r="N124" s="73" t="s">
        <v>821</v>
      </c>
      <c r="O124" s="70" t="s">
        <v>826</v>
      </c>
      <c r="P124" s="70" t="s">
        <v>827</v>
      </c>
      <c r="Q124" s="7">
        <v>0.96</v>
      </c>
    </row>
    <row r="125" spans="1:24" ht="15.75" thickBot="1" x14ac:dyDescent="0.3">
      <c r="A125" s="8" t="s">
        <v>8</v>
      </c>
      <c r="B125" s="68" t="s">
        <v>804</v>
      </c>
      <c r="C125" s="16" t="s">
        <v>809</v>
      </c>
      <c r="D125" s="16" t="s">
        <v>805</v>
      </c>
      <c r="E125">
        <v>0.66</v>
      </c>
      <c r="F125" s="68" t="s">
        <v>804</v>
      </c>
      <c r="G125" s="16" t="s">
        <v>809</v>
      </c>
      <c r="H125" s="16" t="s">
        <v>806</v>
      </c>
      <c r="I125" s="6">
        <v>0.86</v>
      </c>
      <c r="J125" s="16" t="s">
        <v>804</v>
      </c>
      <c r="K125" s="16" t="s">
        <v>809</v>
      </c>
      <c r="L125" s="16" t="s">
        <v>807</v>
      </c>
      <c r="M125">
        <v>0.88</v>
      </c>
      <c r="N125" s="68" t="s">
        <v>804</v>
      </c>
      <c r="O125" s="16" t="s">
        <v>809</v>
      </c>
      <c r="P125" s="16" t="s">
        <v>808</v>
      </c>
      <c r="Q125" s="6">
        <v>0.88</v>
      </c>
    </row>
    <row r="126" spans="1:24" x14ac:dyDescent="0.25">
      <c r="A126" s="2" t="s">
        <v>4</v>
      </c>
      <c r="B126" s="77" t="s">
        <v>813</v>
      </c>
      <c r="C126" s="72" t="s">
        <v>817</v>
      </c>
      <c r="D126" s="72" t="s">
        <v>818</v>
      </c>
      <c r="E126" s="14">
        <v>0.22</v>
      </c>
      <c r="F126" s="77" t="s">
        <v>813</v>
      </c>
      <c r="G126" s="72" t="s">
        <v>817</v>
      </c>
      <c r="H126" s="72" t="s">
        <v>819</v>
      </c>
      <c r="I126" s="5">
        <v>0.98</v>
      </c>
      <c r="J126" s="72" t="s">
        <v>813</v>
      </c>
      <c r="K126" s="72" t="s">
        <v>817</v>
      </c>
      <c r="L126" s="72" t="s">
        <v>816</v>
      </c>
      <c r="M126" s="14">
        <v>0.98</v>
      </c>
      <c r="N126" s="77" t="s">
        <v>813</v>
      </c>
      <c r="O126" s="72" t="s">
        <v>817</v>
      </c>
      <c r="P126" s="72" t="s">
        <v>820</v>
      </c>
      <c r="Q126" s="5">
        <v>0.98</v>
      </c>
    </row>
    <row r="127" spans="1:24" ht="15.75" thickBot="1" x14ac:dyDescent="0.3">
      <c r="A127" s="4" t="s">
        <v>5</v>
      </c>
      <c r="B127" s="94" t="s">
        <v>912</v>
      </c>
      <c r="C127" s="95" t="s">
        <v>920</v>
      </c>
      <c r="D127" s="95" t="s">
        <v>916</v>
      </c>
      <c r="E127" s="95" t="s">
        <v>923</v>
      </c>
      <c r="F127" s="94" t="s">
        <v>913</v>
      </c>
      <c r="G127" s="95" t="s">
        <v>921</v>
      </c>
      <c r="H127" s="95" t="s">
        <v>917</v>
      </c>
      <c r="I127" s="96" t="s">
        <v>924</v>
      </c>
      <c r="J127" s="95" t="s">
        <v>914</v>
      </c>
      <c r="K127" s="95" t="s">
        <v>922</v>
      </c>
      <c r="L127" s="95" t="s">
        <v>918</v>
      </c>
      <c r="M127" s="95" t="s">
        <v>897</v>
      </c>
      <c r="N127" s="94" t="s">
        <v>915</v>
      </c>
      <c r="O127" s="95" t="s">
        <v>872</v>
      </c>
      <c r="P127" s="95" t="s">
        <v>919</v>
      </c>
      <c r="Q127" s="96" t="s">
        <v>875</v>
      </c>
    </row>
    <row r="128" spans="1:24" x14ac:dyDescent="0.25">
      <c r="A128" s="2" t="s">
        <v>13</v>
      </c>
      <c r="B128" s="68" t="s">
        <v>786</v>
      </c>
      <c r="C128" s="16" t="s">
        <v>800</v>
      </c>
      <c r="D128" s="16" t="s">
        <v>794</v>
      </c>
      <c r="E128">
        <v>0.7</v>
      </c>
      <c r="F128" s="68" t="s">
        <v>787</v>
      </c>
      <c r="G128" s="16" t="s">
        <v>800</v>
      </c>
      <c r="H128" s="16" t="s">
        <v>795</v>
      </c>
      <c r="I128" s="6">
        <v>1</v>
      </c>
      <c r="J128" s="16" t="s">
        <v>788</v>
      </c>
      <c r="K128" s="16" t="s">
        <v>800</v>
      </c>
      <c r="L128" s="16" t="s">
        <v>796</v>
      </c>
      <c r="M128">
        <v>1</v>
      </c>
      <c r="N128" s="68" t="s">
        <v>789</v>
      </c>
      <c r="O128" s="16" t="s">
        <v>801</v>
      </c>
      <c r="P128" s="16" t="s">
        <v>797</v>
      </c>
      <c r="Q128" s="6">
        <v>1</v>
      </c>
    </row>
    <row r="129" spans="1:20" ht="15.75" thickBot="1" x14ac:dyDescent="0.3">
      <c r="A129" s="4" t="s">
        <v>14</v>
      </c>
      <c r="B129" s="4" t="s">
        <v>843</v>
      </c>
      <c r="C129" s="15" t="s">
        <v>839</v>
      </c>
      <c r="D129" s="15" t="s">
        <v>847</v>
      </c>
      <c r="E129" s="15">
        <v>0.62</v>
      </c>
      <c r="F129" s="4" t="s">
        <v>844</v>
      </c>
      <c r="G129" s="15" t="s">
        <v>851</v>
      </c>
      <c r="H129" s="15" t="s">
        <v>848</v>
      </c>
      <c r="I129" s="7">
        <v>0.9</v>
      </c>
      <c r="J129" s="15" t="s">
        <v>845</v>
      </c>
      <c r="K129" s="15" t="s">
        <v>852</v>
      </c>
      <c r="L129" s="15" t="s">
        <v>849</v>
      </c>
      <c r="M129" s="15">
        <v>0.9</v>
      </c>
      <c r="N129" s="4" t="s">
        <v>846</v>
      </c>
      <c r="O129" s="15" t="s">
        <v>853</v>
      </c>
      <c r="P129" s="15" t="s">
        <v>850</v>
      </c>
      <c r="Q129" s="7">
        <v>0.84</v>
      </c>
    </row>
    <row r="130" spans="1:20" x14ac:dyDescent="0.25">
      <c r="E130" s="16"/>
    </row>
    <row r="131" spans="1:20" s="130" customFormat="1" x14ac:dyDescent="0.25">
      <c r="D131" s="131"/>
      <c r="E131" s="131"/>
    </row>
    <row r="132" spans="1:20" ht="15.75" thickBot="1" x14ac:dyDescent="0.3">
      <c r="B132" s="84"/>
      <c r="C132" s="84"/>
      <c r="D132" s="84"/>
      <c r="E132" s="84"/>
      <c r="I132" t="s">
        <v>1647</v>
      </c>
    </row>
    <row r="133" spans="1:20" ht="15.75" thickBot="1" x14ac:dyDescent="0.3">
      <c r="A133" s="214" t="s">
        <v>42</v>
      </c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</row>
    <row r="134" spans="1:20" x14ac:dyDescent="0.25">
      <c r="A134" s="222" t="s">
        <v>1035</v>
      </c>
      <c r="B134" s="220" t="s">
        <v>46</v>
      </c>
      <c r="C134" s="221"/>
      <c r="D134" s="221"/>
      <c r="E134" s="216" t="s">
        <v>34</v>
      </c>
      <c r="F134" s="216"/>
      <c r="G134" s="216"/>
      <c r="H134" s="216" t="s">
        <v>32</v>
      </c>
      <c r="I134" s="216"/>
      <c r="J134" s="216"/>
      <c r="K134" s="216" t="s">
        <v>1130</v>
      </c>
      <c r="L134" s="216"/>
      <c r="M134" s="216"/>
      <c r="N134" s="216" t="s">
        <v>1131</v>
      </c>
      <c r="O134" s="216"/>
      <c r="P134" s="216"/>
      <c r="Q134" s="216" t="s">
        <v>1132</v>
      </c>
      <c r="R134" s="216"/>
      <c r="S134" s="215"/>
    </row>
    <row r="135" spans="1:20" ht="15.75" thickBot="1" x14ac:dyDescent="0.3">
      <c r="A135" s="223"/>
      <c r="B135" s="3" t="s">
        <v>47</v>
      </c>
      <c r="C135" t="s">
        <v>1533</v>
      </c>
      <c r="D135" t="s">
        <v>48</v>
      </c>
      <c r="E135" t="s">
        <v>47</v>
      </c>
      <c r="F135" t="s">
        <v>1533</v>
      </c>
      <c r="G135" t="s">
        <v>48</v>
      </c>
      <c r="H135" t="s">
        <v>47</v>
      </c>
      <c r="I135" t="s">
        <v>1533</v>
      </c>
      <c r="J135" t="s">
        <v>48</v>
      </c>
      <c r="K135" t="s">
        <v>47</v>
      </c>
      <c r="L135" t="s">
        <v>1533</v>
      </c>
      <c r="M135" t="s">
        <v>48</v>
      </c>
      <c r="N135" t="s">
        <v>47</v>
      </c>
      <c r="O135" t="s">
        <v>1533</v>
      </c>
      <c r="P135" t="s">
        <v>48</v>
      </c>
      <c r="Q135" t="s">
        <v>47</v>
      </c>
      <c r="R135" t="s">
        <v>1533</v>
      </c>
      <c r="S135" s="6" t="s">
        <v>48</v>
      </c>
    </row>
    <row r="136" spans="1:20" x14ac:dyDescent="0.25">
      <c r="A136" s="2" t="s">
        <v>35</v>
      </c>
      <c r="B136" s="92" t="s">
        <v>1144</v>
      </c>
      <c r="C136" s="84" t="s">
        <v>1066</v>
      </c>
      <c r="D136" s="84" t="s">
        <v>1146</v>
      </c>
      <c r="E136" s="84" t="s">
        <v>1145</v>
      </c>
      <c r="F136" s="84" t="s">
        <v>423</v>
      </c>
      <c r="G136" s="84" t="s">
        <v>1147</v>
      </c>
      <c r="H136" s="84" t="s">
        <v>1148</v>
      </c>
      <c r="I136" s="84" t="s">
        <v>423</v>
      </c>
      <c r="J136" s="84" t="s">
        <v>1152</v>
      </c>
      <c r="K136" s="84" t="s">
        <v>1149</v>
      </c>
      <c r="L136" s="84" t="s">
        <v>423</v>
      </c>
      <c r="M136" s="84" t="s">
        <v>1153</v>
      </c>
      <c r="N136" s="84" t="s">
        <v>1150</v>
      </c>
      <c r="O136" s="84" t="s">
        <v>423</v>
      </c>
      <c r="P136" s="84" t="s">
        <v>1154</v>
      </c>
      <c r="Q136" s="84" t="s">
        <v>1151</v>
      </c>
      <c r="R136" s="84" t="s">
        <v>423</v>
      </c>
      <c r="S136" s="93" t="s">
        <v>1155</v>
      </c>
    </row>
    <row r="137" spans="1:20" x14ac:dyDescent="0.25">
      <c r="A137" s="3" t="s">
        <v>36</v>
      </c>
      <c r="B137" s="92" t="s">
        <v>1164</v>
      </c>
      <c r="C137" s="84" t="s">
        <v>1168</v>
      </c>
      <c r="D137" s="84" t="s">
        <v>1166</v>
      </c>
      <c r="E137" s="84" t="s">
        <v>1165</v>
      </c>
      <c r="F137" s="84" t="s">
        <v>423</v>
      </c>
      <c r="G137" s="84" t="s">
        <v>1167</v>
      </c>
      <c r="H137" s="84" t="s">
        <v>1156</v>
      </c>
      <c r="I137" s="84" t="s">
        <v>423</v>
      </c>
      <c r="J137" s="84" t="s">
        <v>1160</v>
      </c>
      <c r="K137" s="84" t="s">
        <v>1157</v>
      </c>
      <c r="L137" s="84" t="s">
        <v>423</v>
      </c>
      <c r="M137" s="84" t="s">
        <v>1161</v>
      </c>
      <c r="N137" s="84" t="s">
        <v>1158</v>
      </c>
      <c r="O137" s="84" t="s">
        <v>423</v>
      </c>
      <c r="P137" s="84" t="s">
        <v>1162</v>
      </c>
      <c r="Q137" s="84" t="s">
        <v>1159</v>
      </c>
      <c r="R137" s="84" t="s">
        <v>423</v>
      </c>
      <c r="S137" s="93" t="s">
        <v>1163</v>
      </c>
      <c r="T137" s="16"/>
    </row>
    <row r="138" spans="1:20" ht="15.75" thickBot="1" x14ac:dyDescent="0.3">
      <c r="A138" s="4" t="s">
        <v>37</v>
      </c>
      <c r="B138" s="92" t="s">
        <v>1200</v>
      </c>
      <c r="C138" s="84" t="s">
        <v>1204</v>
      </c>
      <c r="D138" s="84" t="s">
        <v>1202</v>
      </c>
      <c r="E138" s="84" t="s">
        <v>1201</v>
      </c>
      <c r="F138" s="84" t="s">
        <v>423</v>
      </c>
      <c r="G138" s="84" t="s">
        <v>1203</v>
      </c>
      <c r="H138" s="84" t="s">
        <v>1192</v>
      </c>
      <c r="I138" s="84" t="s">
        <v>423</v>
      </c>
      <c r="J138" s="84" t="s">
        <v>1196</v>
      </c>
      <c r="K138" s="84" t="s">
        <v>1193</v>
      </c>
      <c r="L138" s="84" t="s">
        <v>423</v>
      </c>
      <c r="M138" s="84" t="s">
        <v>1197</v>
      </c>
      <c r="N138" s="84" t="s">
        <v>1194</v>
      </c>
      <c r="O138" s="84" t="s">
        <v>423</v>
      </c>
      <c r="P138" s="84" t="s">
        <v>1198</v>
      </c>
      <c r="Q138" s="84" t="s">
        <v>1195</v>
      </c>
      <c r="R138" s="84" t="s">
        <v>423</v>
      </c>
      <c r="S138" s="93" t="s">
        <v>1199</v>
      </c>
    </row>
    <row r="139" spans="1:20" x14ac:dyDescent="0.25">
      <c r="A139" s="3" t="s">
        <v>38</v>
      </c>
      <c r="B139" s="17" t="s">
        <v>1615</v>
      </c>
      <c r="C139" s="17" t="s">
        <v>1619</v>
      </c>
      <c r="D139" s="17" t="s">
        <v>1617</v>
      </c>
      <c r="E139" s="16" t="s">
        <v>1616</v>
      </c>
      <c r="F139" s="84" t="s">
        <v>423</v>
      </c>
      <c r="G139" s="16" t="s">
        <v>1618</v>
      </c>
      <c r="H139" s="17" t="s">
        <v>1607</v>
      </c>
      <c r="I139" s="84" t="s">
        <v>423</v>
      </c>
      <c r="J139" s="17" t="s">
        <v>1611</v>
      </c>
      <c r="K139" s="16" t="s">
        <v>1608</v>
      </c>
      <c r="L139" s="84" t="s">
        <v>423</v>
      </c>
      <c r="M139" s="16" t="s">
        <v>1612</v>
      </c>
      <c r="N139" s="16" t="s">
        <v>1609</v>
      </c>
      <c r="O139" s="84" t="s">
        <v>423</v>
      </c>
      <c r="P139" s="16" t="s">
        <v>1613</v>
      </c>
      <c r="Q139" s="122" t="s">
        <v>1610</v>
      </c>
      <c r="R139" s="84" t="s">
        <v>423</v>
      </c>
      <c r="S139" s="122" t="s">
        <v>1614</v>
      </c>
    </row>
    <row r="140" spans="1:20" x14ac:dyDescent="0.25">
      <c r="A140" s="3" t="s">
        <v>39</v>
      </c>
      <c r="B140" s="17" t="s">
        <v>1628</v>
      </c>
      <c r="C140" s="17" t="s">
        <v>1632</v>
      </c>
      <c r="D140" s="17" t="s">
        <v>1630</v>
      </c>
      <c r="E140" s="16" t="s">
        <v>1629</v>
      </c>
      <c r="F140" s="84" t="s">
        <v>423</v>
      </c>
      <c r="G140" s="16" t="s">
        <v>1631</v>
      </c>
      <c r="H140" s="17" t="s">
        <v>1620</v>
      </c>
      <c r="I140" s="84" t="s">
        <v>423</v>
      </c>
      <c r="J140" s="17" t="s">
        <v>1624</v>
      </c>
      <c r="K140" s="16" t="s">
        <v>1621</v>
      </c>
      <c r="L140" s="84" t="s">
        <v>423</v>
      </c>
      <c r="M140" s="16" t="s">
        <v>1625</v>
      </c>
      <c r="N140" s="16" t="s">
        <v>1622</v>
      </c>
      <c r="O140" s="84" t="s">
        <v>423</v>
      </c>
      <c r="P140" s="16" t="s">
        <v>1626</v>
      </c>
      <c r="Q140" s="122" t="s">
        <v>1623</v>
      </c>
      <c r="R140" s="84" t="s">
        <v>423</v>
      </c>
      <c r="S140" s="122" t="s">
        <v>1627</v>
      </c>
    </row>
    <row r="141" spans="1:20" ht="15.75" thickBot="1" x14ac:dyDescent="0.3">
      <c r="A141" s="4" t="s">
        <v>40</v>
      </c>
      <c r="B141" s="17" t="s">
        <v>2123</v>
      </c>
      <c r="C141" s="17" t="s">
        <v>2127</v>
      </c>
      <c r="D141" s="17" t="s">
        <v>2125</v>
      </c>
      <c r="E141" s="16" t="s">
        <v>2124</v>
      </c>
      <c r="F141" s="84" t="s">
        <v>423</v>
      </c>
      <c r="G141" s="16" t="s">
        <v>2126</v>
      </c>
      <c r="H141" s="17" t="s">
        <v>2119</v>
      </c>
      <c r="I141" s="84" t="s">
        <v>423</v>
      </c>
      <c r="J141" s="16" t="s">
        <v>2130</v>
      </c>
      <c r="K141" s="16" t="s">
        <v>2120</v>
      </c>
      <c r="L141" s="84" t="s">
        <v>423</v>
      </c>
      <c r="M141" s="122" t="s">
        <v>2131</v>
      </c>
      <c r="N141" s="16" t="s">
        <v>2121</v>
      </c>
      <c r="O141" s="84" t="s">
        <v>423</v>
      </c>
      <c r="P141" s="17" t="s">
        <v>2128</v>
      </c>
      <c r="Q141" s="122" t="s">
        <v>2122</v>
      </c>
      <c r="R141" s="84" t="s">
        <v>423</v>
      </c>
      <c r="S141" s="16" t="s">
        <v>2129</v>
      </c>
    </row>
    <row r="142" spans="1:20" ht="15.75" thickBot="1" x14ac:dyDescent="0.3">
      <c r="A142" s="3" t="s">
        <v>11</v>
      </c>
      <c r="B142" s="92" t="s">
        <v>1213</v>
      </c>
      <c r="C142" s="84" t="s">
        <v>1217</v>
      </c>
      <c r="D142" s="84" t="s">
        <v>1215</v>
      </c>
      <c r="E142" s="84" t="s">
        <v>1214</v>
      </c>
      <c r="F142" s="84" t="s">
        <v>423</v>
      </c>
      <c r="G142" s="84" t="s">
        <v>1216</v>
      </c>
      <c r="H142" s="84" t="s">
        <v>1205</v>
      </c>
      <c r="I142" s="84" t="s">
        <v>423</v>
      </c>
      <c r="J142" s="84" t="s">
        <v>1209</v>
      </c>
      <c r="K142" s="84" t="s">
        <v>1206</v>
      </c>
      <c r="L142" s="84" t="s">
        <v>423</v>
      </c>
      <c r="M142" s="84" t="s">
        <v>1210</v>
      </c>
      <c r="N142" s="84" t="s">
        <v>1207</v>
      </c>
      <c r="O142" s="84" t="s">
        <v>423</v>
      </c>
      <c r="P142" s="84" t="s">
        <v>1211</v>
      </c>
      <c r="Q142" s="84" t="s">
        <v>1208</v>
      </c>
      <c r="R142" s="84" t="s">
        <v>423</v>
      </c>
      <c r="S142" s="93" t="s">
        <v>1212</v>
      </c>
    </row>
    <row r="143" spans="1:20" ht="15.75" thickBot="1" x14ac:dyDescent="0.3">
      <c r="A143" s="8" t="s">
        <v>8</v>
      </c>
      <c r="B143" s="92" t="s">
        <v>1135</v>
      </c>
      <c r="C143" s="84" t="s">
        <v>1139</v>
      </c>
      <c r="D143" s="84" t="s">
        <v>1137</v>
      </c>
      <c r="E143" s="84" t="s">
        <v>1136</v>
      </c>
      <c r="F143" s="84" t="s">
        <v>423</v>
      </c>
      <c r="G143" s="84" t="s">
        <v>1138</v>
      </c>
      <c r="H143" s="84" t="s">
        <v>1140</v>
      </c>
      <c r="I143" s="84" t="s">
        <v>423</v>
      </c>
      <c r="J143" s="84" t="s">
        <v>1141</v>
      </c>
      <c r="K143" s="84" t="s">
        <v>1140</v>
      </c>
      <c r="L143" s="84" t="s">
        <v>423</v>
      </c>
      <c r="M143" s="84" t="s">
        <v>1142</v>
      </c>
      <c r="N143" s="84" t="s">
        <v>1140</v>
      </c>
      <c r="O143" s="84" t="s">
        <v>423</v>
      </c>
      <c r="P143" s="84" t="s">
        <v>1143</v>
      </c>
      <c r="Q143" s="84" t="s">
        <v>1140</v>
      </c>
      <c r="R143" s="84" t="s">
        <v>423</v>
      </c>
      <c r="S143" s="93" t="s">
        <v>1142</v>
      </c>
    </row>
    <row r="144" spans="1:20" x14ac:dyDescent="0.25">
      <c r="A144" s="2" t="s">
        <v>4</v>
      </c>
      <c r="B144" s="92" t="s">
        <v>1177</v>
      </c>
      <c r="C144" s="84" t="s">
        <v>1181</v>
      </c>
      <c r="D144" s="84" t="s">
        <v>1179</v>
      </c>
      <c r="E144" s="84" t="s">
        <v>1178</v>
      </c>
      <c r="F144" s="84" t="s">
        <v>423</v>
      </c>
      <c r="G144" s="84" t="s">
        <v>1180</v>
      </c>
      <c r="H144" s="84" t="s">
        <v>1169</v>
      </c>
      <c r="I144" s="84" t="s">
        <v>423</v>
      </c>
      <c r="J144" s="84" t="s">
        <v>1173</v>
      </c>
      <c r="K144" s="84" t="s">
        <v>1170</v>
      </c>
      <c r="L144" s="84" t="s">
        <v>423</v>
      </c>
      <c r="M144" s="84" t="s">
        <v>1174</v>
      </c>
      <c r="N144" s="84" t="s">
        <v>1171</v>
      </c>
      <c r="O144" s="84" t="s">
        <v>423</v>
      </c>
      <c r="P144" s="84" t="s">
        <v>1175</v>
      </c>
      <c r="Q144" s="84" t="s">
        <v>1172</v>
      </c>
      <c r="R144" s="84" t="s">
        <v>423</v>
      </c>
      <c r="S144" s="93" t="s">
        <v>1176</v>
      </c>
    </row>
    <row r="145" spans="1:20" ht="15.75" thickBot="1" x14ac:dyDescent="0.3">
      <c r="A145" s="4" t="s">
        <v>5</v>
      </c>
      <c r="B145" s="17" t="s">
        <v>2110</v>
      </c>
      <c r="C145" s="17" t="s">
        <v>2116</v>
      </c>
      <c r="D145" s="17" t="s">
        <v>2117</v>
      </c>
      <c r="E145" s="16" t="s">
        <v>2111</v>
      </c>
      <c r="F145" s="84" t="s">
        <v>423</v>
      </c>
      <c r="G145" s="16" t="s">
        <v>2118</v>
      </c>
      <c r="H145" s="17" t="s">
        <v>2106</v>
      </c>
      <c r="I145" s="84" t="s">
        <v>423</v>
      </c>
      <c r="J145" s="17" t="s">
        <v>2112</v>
      </c>
      <c r="K145" s="16" t="s">
        <v>2107</v>
      </c>
      <c r="L145" s="84" t="s">
        <v>423</v>
      </c>
      <c r="M145" s="16" t="s">
        <v>2113</v>
      </c>
      <c r="N145" s="16" t="s">
        <v>2108</v>
      </c>
      <c r="O145" s="84" t="s">
        <v>423</v>
      </c>
      <c r="P145" s="16" t="s">
        <v>2114</v>
      </c>
      <c r="Q145" s="122" t="s">
        <v>2109</v>
      </c>
      <c r="R145" s="84" t="s">
        <v>423</v>
      </c>
      <c r="S145" s="122" t="s">
        <v>2115</v>
      </c>
      <c r="T145" t="s">
        <v>1648</v>
      </c>
    </row>
    <row r="146" spans="1:20" x14ac:dyDescent="0.25">
      <c r="A146" s="2" t="s">
        <v>13</v>
      </c>
      <c r="B146" s="92" t="s">
        <v>1187</v>
      </c>
      <c r="C146" s="84" t="s">
        <v>1191</v>
      </c>
      <c r="D146" s="84" t="s">
        <v>1189</v>
      </c>
      <c r="E146" s="84" t="s">
        <v>1188</v>
      </c>
      <c r="F146" s="84" t="s">
        <v>423</v>
      </c>
      <c r="G146" s="84" t="s">
        <v>1190</v>
      </c>
      <c r="H146" s="84" t="s">
        <v>1182</v>
      </c>
      <c r="I146" s="84" t="s">
        <v>423</v>
      </c>
      <c r="J146" s="84" t="s">
        <v>1183</v>
      </c>
      <c r="K146" s="84" t="s">
        <v>1182</v>
      </c>
      <c r="L146" s="84" t="s">
        <v>423</v>
      </c>
      <c r="M146" s="84" t="s">
        <v>1184</v>
      </c>
      <c r="N146" s="84" t="s">
        <v>1182</v>
      </c>
      <c r="O146" s="84" t="s">
        <v>423</v>
      </c>
      <c r="P146" s="84" t="s">
        <v>1185</v>
      </c>
      <c r="Q146" s="84" t="s">
        <v>1182</v>
      </c>
      <c r="R146" s="84" t="s">
        <v>423</v>
      </c>
      <c r="S146" s="93" t="s">
        <v>1186</v>
      </c>
    </row>
    <row r="147" spans="1:20" ht="15.75" thickBot="1" x14ac:dyDescent="0.3">
      <c r="A147" s="4" t="s">
        <v>14</v>
      </c>
      <c r="B147" s="94" t="s">
        <v>1223</v>
      </c>
      <c r="C147" s="95" t="s">
        <v>1227</v>
      </c>
      <c r="D147" s="95" t="s">
        <v>1225</v>
      </c>
      <c r="E147" s="95" t="s">
        <v>1224</v>
      </c>
      <c r="F147" s="95" t="s">
        <v>423</v>
      </c>
      <c r="G147" s="95" t="s">
        <v>1226</v>
      </c>
      <c r="H147" s="95" t="s">
        <v>1218</v>
      </c>
      <c r="I147" s="95" t="s">
        <v>423</v>
      </c>
      <c r="J147" s="95" t="s">
        <v>1219</v>
      </c>
      <c r="K147" s="95" t="s">
        <v>1218</v>
      </c>
      <c r="L147" s="95" t="s">
        <v>423</v>
      </c>
      <c r="M147" s="95" t="s">
        <v>1220</v>
      </c>
      <c r="N147" s="95" t="s">
        <v>1218</v>
      </c>
      <c r="O147" s="95" t="s">
        <v>423</v>
      </c>
      <c r="P147" s="95" t="s">
        <v>1221</v>
      </c>
      <c r="Q147" s="95" t="s">
        <v>1218</v>
      </c>
      <c r="R147" s="95" t="s">
        <v>423</v>
      </c>
      <c r="S147" s="96" t="s">
        <v>1222</v>
      </c>
    </row>
    <row r="150" spans="1:20" ht="15.75" thickBot="1" x14ac:dyDescent="0.3">
      <c r="H150" t="s">
        <v>1646</v>
      </c>
    </row>
    <row r="151" spans="1:20" ht="15.75" thickBot="1" x14ac:dyDescent="0.3">
      <c r="A151" s="214" t="s">
        <v>1560</v>
      </c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</row>
    <row r="152" spans="1:20" x14ac:dyDescent="0.25">
      <c r="A152" s="222" t="s">
        <v>1035</v>
      </c>
      <c r="B152" s="220" t="s">
        <v>46</v>
      </c>
      <c r="C152" s="221"/>
      <c r="D152" s="221"/>
      <c r="E152" s="216" t="s">
        <v>34</v>
      </c>
      <c r="F152" s="216"/>
      <c r="G152" s="216"/>
      <c r="H152" s="216" t="s">
        <v>32</v>
      </c>
      <c r="I152" s="216"/>
      <c r="J152" s="216"/>
      <c r="K152" s="216" t="s">
        <v>1130</v>
      </c>
      <c r="L152" s="216"/>
      <c r="M152" s="216"/>
      <c r="N152" s="216" t="s">
        <v>1131</v>
      </c>
      <c r="O152" s="216"/>
      <c r="P152" s="216"/>
      <c r="Q152" s="216" t="s">
        <v>1132</v>
      </c>
      <c r="R152" s="216"/>
      <c r="S152" s="215"/>
    </row>
    <row r="153" spans="1:20" ht="15.75" thickBot="1" x14ac:dyDescent="0.3">
      <c r="A153" s="223"/>
      <c r="B153" s="3" t="s">
        <v>47</v>
      </c>
      <c r="C153" t="s">
        <v>1533</v>
      </c>
      <c r="D153" t="s">
        <v>48</v>
      </c>
      <c r="E153" t="s">
        <v>47</v>
      </c>
      <c r="F153" t="s">
        <v>1533</v>
      </c>
      <c r="G153" t="s">
        <v>48</v>
      </c>
      <c r="H153" t="s">
        <v>47</v>
      </c>
      <c r="I153" t="s">
        <v>1533</v>
      </c>
      <c r="J153" t="s">
        <v>48</v>
      </c>
      <c r="K153" t="s">
        <v>47</v>
      </c>
      <c r="L153" t="s">
        <v>1533</v>
      </c>
      <c r="M153" t="s">
        <v>48</v>
      </c>
      <c r="N153" t="s">
        <v>47</v>
      </c>
      <c r="O153" t="s">
        <v>1533</v>
      </c>
      <c r="P153" t="s">
        <v>48</v>
      </c>
      <c r="Q153" t="s">
        <v>47</v>
      </c>
      <c r="R153" t="s">
        <v>1533</v>
      </c>
      <c r="S153" s="6" t="s">
        <v>48</v>
      </c>
    </row>
    <row r="154" spans="1:20" x14ac:dyDescent="0.25">
      <c r="A154" s="2" t="s">
        <v>35</v>
      </c>
      <c r="B154" s="92" t="s">
        <v>1292</v>
      </c>
      <c r="C154" s="84" t="s">
        <v>1301</v>
      </c>
      <c r="D154" s="84" t="s">
        <v>1294</v>
      </c>
      <c r="E154" s="84" t="s">
        <v>1293</v>
      </c>
      <c r="F154" s="65"/>
      <c r="G154" s="84" t="s">
        <v>1295</v>
      </c>
      <c r="H154" s="123" t="s">
        <v>1237</v>
      </c>
      <c r="J154" s="123" t="s">
        <v>1241</v>
      </c>
      <c r="K154" s="123" t="s">
        <v>1238</v>
      </c>
      <c r="M154" s="123" t="s">
        <v>1242</v>
      </c>
      <c r="N154" s="123" t="s">
        <v>1239</v>
      </c>
      <c r="O154" s="65"/>
      <c r="P154" s="123" t="s">
        <v>1243</v>
      </c>
      <c r="Q154" s="123" t="s">
        <v>1240</v>
      </c>
      <c r="R154" s="65"/>
      <c r="S154" s="173" t="s">
        <v>1244</v>
      </c>
    </row>
    <row r="155" spans="1:20" x14ac:dyDescent="0.25">
      <c r="A155" s="3" t="s">
        <v>36</v>
      </c>
      <c r="B155" s="92" t="s">
        <v>1296</v>
      </c>
      <c r="C155" s="84" t="s">
        <v>1300</v>
      </c>
      <c r="D155" s="84" t="s">
        <v>1298</v>
      </c>
      <c r="E155" s="84" t="s">
        <v>1297</v>
      </c>
      <c r="F155" s="16"/>
      <c r="G155" s="84" t="s">
        <v>1299</v>
      </c>
      <c r="H155" s="84" t="s">
        <v>1245</v>
      </c>
      <c r="J155" s="84" t="s">
        <v>1249</v>
      </c>
      <c r="K155" s="84" t="s">
        <v>1246</v>
      </c>
      <c r="L155" s="16"/>
      <c r="M155" s="84" t="s">
        <v>1250</v>
      </c>
      <c r="N155" s="84" t="s">
        <v>1247</v>
      </c>
      <c r="O155" s="16"/>
      <c r="P155" s="84" t="s">
        <v>1251</v>
      </c>
      <c r="Q155" s="84" t="s">
        <v>1248</v>
      </c>
      <c r="R155" s="16"/>
      <c r="S155" s="93" t="s">
        <v>1252</v>
      </c>
      <c r="T155" s="16"/>
    </row>
    <row r="156" spans="1:20" ht="15.75" thickBot="1" x14ac:dyDescent="0.3">
      <c r="A156" s="4" t="s">
        <v>37</v>
      </c>
      <c r="B156" s="92" t="s">
        <v>1271</v>
      </c>
      <c r="C156" s="84" t="s">
        <v>1312</v>
      </c>
      <c r="D156" s="84" t="s">
        <v>1277</v>
      </c>
      <c r="E156" s="84" t="s">
        <v>1272</v>
      </c>
      <c r="F156" s="65"/>
      <c r="G156" s="84" t="s">
        <v>1278</v>
      </c>
      <c r="H156" s="84" t="s">
        <v>1267</v>
      </c>
      <c r="J156" s="84" t="s">
        <v>1273</v>
      </c>
      <c r="K156" s="84" t="s">
        <v>1268</v>
      </c>
      <c r="L156" s="65"/>
      <c r="M156" s="84" t="s">
        <v>1274</v>
      </c>
      <c r="N156" s="84" t="s">
        <v>1269</v>
      </c>
      <c r="O156" s="65"/>
      <c r="P156" s="84" t="s">
        <v>1275</v>
      </c>
      <c r="Q156" s="84" t="s">
        <v>1270</v>
      </c>
      <c r="R156" s="65"/>
      <c r="S156" s="93" t="s">
        <v>1276</v>
      </c>
    </row>
    <row r="157" spans="1:20" x14ac:dyDescent="0.25">
      <c r="A157" s="3" t="s">
        <v>38</v>
      </c>
      <c r="B157" s="17" t="s">
        <v>1641</v>
      </c>
      <c r="C157" s="17" t="s">
        <v>1645</v>
      </c>
      <c r="D157" s="17" t="s">
        <v>1643</v>
      </c>
      <c r="E157" s="16" t="s">
        <v>1642</v>
      </c>
      <c r="F157" s="16"/>
      <c r="G157" s="16" t="s">
        <v>1644</v>
      </c>
      <c r="H157" s="17" t="s">
        <v>1633</v>
      </c>
      <c r="J157" s="17" t="s">
        <v>1637</v>
      </c>
      <c r="K157" s="16" t="s">
        <v>1634</v>
      </c>
      <c r="L157" s="16"/>
      <c r="M157" s="16" t="s">
        <v>1638</v>
      </c>
      <c r="N157" s="16" t="s">
        <v>1635</v>
      </c>
      <c r="O157" s="16"/>
      <c r="P157" s="16" t="s">
        <v>1639</v>
      </c>
      <c r="Q157" s="122" t="s">
        <v>1636</v>
      </c>
      <c r="R157" s="16"/>
      <c r="S157" s="122" t="s">
        <v>1640</v>
      </c>
    </row>
    <row r="158" spans="1:20" x14ac:dyDescent="0.25">
      <c r="A158" s="3" t="s">
        <v>39</v>
      </c>
      <c r="B158" s="17" t="s">
        <v>1909</v>
      </c>
      <c r="C158" s="17" t="s">
        <v>1913</v>
      </c>
      <c r="D158" s="17" t="s">
        <v>1911</v>
      </c>
      <c r="E158" s="16" t="s">
        <v>1910</v>
      </c>
      <c r="F158" s="65"/>
      <c r="G158" s="16" t="s">
        <v>1912</v>
      </c>
      <c r="H158" s="17" t="s">
        <v>1901</v>
      </c>
      <c r="J158" s="17" t="s">
        <v>1905</v>
      </c>
      <c r="K158" s="16" t="s">
        <v>1902</v>
      </c>
      <c r="L158" s="65"/>
      <c r="M158" s="16" t="s">
        <v>1906</v>
      </c>
      <c r="N158" s="16" t="s">
        <v>1903</v>
      </c>
      <c r="O158" s="65"/>
      <c r="P158" s="16" t="s">
        <v>1907</v>
      </c>
      <c r="Q158" s="122" t="s">
        <v>1904</v>
      </c>
      <c r="R158" s="65"/>
      <c r="S158" s="122" t="s">
        <v>1908</v>
      </c>
    </row>
    <row r="159" spans="1:20" ht="15.75" thickBot="1" x14ac:dyDescent="0.3">
      <c r="A159" s="4" t="s">
        <v>40</v>
      </c>
      <c r="B159" s="17" t="s">
        <v>2140</v>
      </c>
      <c r="C159" s="17" t="s">
        <v>2144</v>
      </c>
      <c r="D159" s="17" t="s">
        <v>2142</v>
      </c>
      <c r="E159" s="16" t="s">
        <v>2141</v>
      </c>
      <c r="G159" s="16" t="s">
        <v>2143</v>
      </c>
      <c r="H159" s="17" t="s">
        <v>2132</v>
      </c>
      <c r="J159" s="17" t="s">
        <v>2136</v>
      </c>
      <c r="K159" s="16" t="s">
        <v>2133</v>
      </c>
      <c r="M159" s="16" t="s">
        <v>2137</v>
      </c>
      <c r="N159" s="16" t="s">
        <v>2134</v>
      </c>
      <c r="O159" s="16"/>
      <c r="P159" s="16" t="s">
        <v>2138</v>
      </c>
      <c r="Q159" s="122" t="s">
        <v>2135</v>
      </c>
      <c r="S159" s="122" t="s">
        <v>2139</v>
      </c>
    </row>
    <row r="160" spans="1:20" ht="15.75" thickBot="1" x14ac:dyDescent="0.3">
      <c r="A160" s="3" t="s">
        <v>11</v>
      </c>
      <c r="B160" s="92" t="s">
        <v>1287</v>
      </c>
      <c r="C160" s="84" t="s">
        <v>1291</v>
      </c>
      <c r="D160" s="84" t="s">
        <v>1289</v>
      </c>
      <c r="E160" s="84" t="s">
        <v>1288</v>
      </c>
      <c r="F160" s="84" t="s">
        <v>423</v>
      </c>
      <c r="G160" s="84" t="s">
        <v>1290</v>
      </c>
      <c r="H160" s="84" t="s">
        <v>1279</v>
      </c>
      <c r="I160" s="65"/>
      <c r="J160" s="84" t="s">
        <v>1283</v>
      </c>
      <c r="K160" s="84" t="s">
        <v>1280</v>
      </c>
      <c r="L160" s="65"/>
      <c r="M160" s="84" t="s">
        <v>1284</v>
      </c>
      <c r="N160" s="84" t="s">
        <v>1281</v>
      </c>
      <c r="O160" s="65"/>
      <c r="P160" s="84" t="s">
        <v>1285</v>
      </c>
      <c r="Q160" s="84" t="s">
        <v>1282</v>
      </c>
      <c r="R160" s="65"/>
      <c r="S160" s="93" t="s">
        <v>1286</v>
      </c>
    </row>
    <row r="161" spans="1:21" ht="15.75" thickBot="1" x14ac:dyDescent="0.3">
      <c r="A161" s="8" t="s">
        <v>8</v>
      </c>
      <c r="B161" s="92" t="s">
        <v>1228</v>
      </c>
      <c r="C161" s="84" t="s">
        <v>1232</v>
      </c>
      <c r="D161" s="84" t="s">
        <v>1230</v>
      </c>
      <c r="E161" s="84" t="s">
        <v>1229</v>
      </c>
      <c r="F161" s="84" t="s">
        <v>423</v>
      </c>
      <c r="G161" s="84" t="s">
        <v>1231</v>
      </c>
      <c r="H161" s="84" t="s">
        <v>1049</v>
      </c>
      <c r="J161" s="84" t="s">
        <v>1233</v>
      </c>
      <c r="K161" s="84" t="s">
        <v>1049</v>
      </c>
      <c r="L161" s="16"/>
      <c r="M161" s="84" t="s">
        <v>1234</v>
      </c>
      <c r="N161" s="84" t="s">
        <v>1049</v>
      </c>
      <c r="O161" s="16"/>
      <c r="P161" s="84" t="s">
        <v>1235</v>
      </c>
      <c r="Q161" s="84" t="s">
        <v>1049</v>
      </c>
      <c r="R161" s="16"/>
      <c r="S161" s="93" t="s">
        <v>1236</v>
      </c>
    </row>
    <row r="162" spans="1:21" x14ac:dyDescent="0.25">
      <c r="A162" s="2" t="s">
        <v>4</v>
      </c>
      <c r="B162" s="92" t="s">
        <v>1302</v>
      </c>
      <c r="C162" s="84" t="s">
        <v>1311</v>
      </c>
      <c r="D162" s="84" t="s">
        <v>1304</v>
      </c>
      <c r="E162" s="84" t="s">
        <v>1303</v>
      </c>
      <c r="F162" s="65"/>
      <c r="G162" s="84" t="s">
        <v>1305</v>
      </c>
      <c r="H162" s="84" t="s">
        <v>1253</v>
      </c>
      <c r="J162" s="84" t="s">
        <v>1257</v>
      </c>
      <c r="K162" s="84" t="s">
        <v>1254</v>
      </c>
      <c r="L162" s="65"/>
      <c r="M162" s="84" t="s">
        <v>1258</v>
      </c>
      <c r="N162" s="84" t="s">
        <v>1255</v>
      </c>
      <c r="O162" s="65"/>
      <c r="P162" s="84" t="s">
        <v>1259</v>
      </c>
      <c r="Q162" s="84" t="s">
        <v>1256</v>
      </c>
      <c r="R162" s="65"/>
      <c r="S162" s="93" t="s">
        <v>1260</v>
      </c>
    </row>
    <row r="163" spans="1:21" ht="15.75" thickBot="1" x14ac:dyDescent="0.3">
      <c r="A163" s="4" t="s">
        <v>5</v>
      </c>
      <c r="B163" s="17" t="s">
        <v>1918</v>
      </c>
      <c r="C163" s="17" t="s">
        <v>1926</v>
      </c>
      <c r="D163" s="17" t="s">
        <v>1920</v>
      </c>
      <c r="E163" s="16" t="s">
        <v>1919</v>
      </c>
      <c r="G163" s="16" t="s">
        <v>1921</v>
      </c>
      <c r="H163" s="17" t="s">
        <v>1914</v>
      </c>
      <c r="J163" s="17" t="s">
        <v>1922</v>
      </c>
      <c r="K163" s="16" t="s">
        <v>1915</v>
      </c>
      <c r="L163" s="16"/>
      <c r="M163" s="16" t="s">
        <v>1923</v>
      </c>
      <c r="N163" s="16" t="s">
        <v>1916</v>
      </c>
      <c r="O163" s="16"/>
      <c r="P163" s="16" t="s">
        <v>1924</v>
      </c>
      <c r="Q163" s="122" t="s">
        <v>1917</v>
      </c>
      <c r="R163" s="16"/>
      <c r="S163" s="122" t="s">
        <v>1925</v>
      </c>
    </row>
    <row r="164" spans="1:21" x14ac:dyDescent="0.25">
      <c r="A164" s="2" t="s">
        <v>13</v>
      </c>
      <c r="B164" s="92" t="s">
        <v>1306</v>
      </c>
      <c r="C164" s="84" t="s">
        <v>1310</v>
      </c>
      <c r="D164" s="84" t="s">
        <v>1308</v>
      </c>
      <c r="E164" s="84" t="s">
        <v>1307</v>
      </c>
      <c r="F164" s="84" t="s">
        <v>423</v>
      </c>
      <c r="G164" s="84" t="s">
        <v>1309</v>
      </c>
      <c r="H164" s="84" t="s">
        <v>1261</v>
      </c>
      <c r="J164" s="84" t="s">
        <v>1263</v>
      </c>
      <c r="K164" s="84" t="s">
        <v>1262</v>
      </c>
      <c r="L164" s="65"/>
      <c r="M164" s="84" t="s">
        <v>1264</v>
      </c>
      <c r="N164" s="84" t="s">
        <v>1262</v>
      </c>
      <c r="O164" s="65"/>
      <c r="P164" s="84" t="s">
        <v>1265</v>
      </c>
      <c r="Q164" s="84" t="s">
        <v>1262</v>
      </c>
      <c r="R164" s="65"/>
      <c r="S164" s="93" t="s">
        <v>1266</v>
      </c>
    </row>
    <row r="165" spans="1:21" ht="15.75" thickBot="1" x14ac:dyDescent="0.3">
      <c r="A165" s="4" t="s">
        <v>14</v>
      </c>
      <c r="B165" s="73" t="s">
        <v>1579</v>
      </c>
      <c r="C165" s="70" t="s">
        <v>1583</v>
      </c>
      <c r="D165" s="70" t="s">
        <v>1581</v>
      </c>
      <c r="E165" s="70" t="s">
        <v>1580</v>
      </c>
      <c r="F165" s="15"/>
      <c r="G165" s="70" t="s">
        <v>1582</v>
      </c>
      <c r="H165" s="70" t="s">
        <v>1573</v>
      </c>
      <c r="I165" s="15"/>
      <c r="J165" s="70" t="s">
        <v>1575</v>
      </c>
      <c r="K165" s="70" t="s">
        <v>1574</v>
      </c>
      <c r="L165" s="15"/>
      <c r="M165" s="70" t="s">
        <v>1576</v>
      </c>
      <c r="N165" s="70" t="s">
        <v>1574</v>
      </c>
      <c r="O165" s="70"/>
      <c r="P165" s="70" t="s">
        <v>1577</v>
      </c>
      <c r="Q165" s="70" t="s">
        <v>1574</v>
      </c>
      <c r="R165" s="70"/>
      <c r="S165" s="119" t="s">
        <v>1578</v>
      </c>
      <c r="T165" s="16"/>
      <c r="U165" s="16"/>
    </row>
    <row r="167" spans="1:21" x14ac:dyDescent="0.25">
      <c r="K167" s="17" t="s">
        <v>1914</v>
      </c>
      <c r="L167" s="16" t="s">
        <v>1915</v>
      </c>
      <c r="M167" s="16" t="s">
        <v>1916</v>
      </c>
      <c r="N167" s="122" t="s">
        <v>1917</v>
      </c>
    </row>
    <row r="169" spans="1:21" ht="15.75" hidden="1" thickBot="1" x14ac:dyDescent="0.3">
      <c r="A169" s="217" t="s">
        <v>208</v>
      </c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5"/>
    </row>
    <row r="170" spans="1:21" hidden="1" x14ac:dyDescent="0.25">
      <c r="A170" s="222" t="s">
        <v>1035</v>
      </c>
      <c r="B170" s="220" t="s">
        <v>46</v>
      </c>
      <c r="C170" s="221"/>
      <c r="D170" s="221"/>
      <c r="E170" s="216" t="s">
        <v>32</v>
      </c>
      <c r="F170" s="216"/>
      <c r="G170" s="216"/>
      <c r="H170" s="216" t="s">
        <v>1133</v>
      </c>
      <c r="I170" s="216"/>
      <c r="J170" s="216"/>
      <c r="K170" s="216" t="s">
        <v>1134</v>
      </c>
      <c r="L170" s="216"/>
      <c r="M170" s="215"/>
    </row>
    <row r="171" spans="1:21" ht="15.75" hidden="1" thickBot="1" x14ac:dyDescent="0.3">
      <c r="A171" s="223"/>
      <c r="B171" s="3" t="s">
        <v>47</v>
      </c>
      <c r="C171" t="s">
        <v>1533</v>
      </c>
      <c r="D171" t="s">
        <v>48</v>
      </c>
      <c r="E171" t="s">
        <v>47</v>
      </c>
      <c r="F171" t="s">
        <v>1533</v>
      </c>
      <c r="G171" t="s">
        <v>48</v>
      </c>
      <c r="H171" t="s">
        <v>47</v>
      </c>
      <c r="I171" t="s">
        <v>1533</v>
      </c>
      <c r="J171" t="s">
        <v>48</v>
      </c>
      <c r="K171" t="s">
        <v>47</v>
      </c>
      <c r="L171" t="s">
        <v>1533</v>
      </c>
      <c r="M171" s="6" t="s">
        <v>48</v>
      </c>
    </row>
    <row r="172" spans="1:21" hidden="1" x14ac:dyDescent="0.25">
      <c r="A172" s="2" t="s">
        <v>35</v>
      </c>
      <c r="B172" s="89" t="s">
        <v>1313</v>
      </c>
      <c r="C172" s="90" t="s">
        <v>1321</v>
      </c>
      <c r="D172" s="90" t="s">
        <v>1317</v>
      </c>
      <c r="E172" s="90" t="s">
        <v>1314</v>
      </c>
      <c r="F172" s="90" t="s">
        <v>1322</v>
      </c>
      <c r="G172" s="90" t="s">
        <v>1318</v>
      </c>
      <c r="H172" s="90" t="s">
        <v>1315</v>
      </c>
      <c r="I172" s="90" t="s">
        <v>1323</v>
      </c>
      <c r="J172" s="90" t="s">
        <v>1319</v>
      </c>
      <c r="K172" s="90" t="s">
        <v>1316</v>
      </c>
      <c r="L172" s="90" t="s">
        <v>1324</v>
      </c>
      <c r="M172" s="91" t="s">
        <v>1320</v>
      </c>
    </row>
    <row r="173" spans="1:21" hidden="1" x14ac:dyDescent="0.25">
      <c r="A173" s="3" t="s">
        <v>36</v>
      </c>
      <c r="B173" s="92" t="s">
        <v>1325</v>
      </c>
      <c r="C173" s="84" t="s">
        <v>1333</v>
      </c>
      <c r="D173" s="84" t="s">
        <v>1329</v>
      </c>
      <c r="E173" s="84" t="s">
        <v>1326</v>
      </c>
      <c r="F173" s="84" t="s">
        <v>1334</v>
      </c>
      <c r="G173" s="84" t="s">
        <v>1330</v>
      </c>
      <c r="H173" s="84" t="s">
        <v>1327</v>
      </c>
      <c r="I173" s="84" t="s">
        <v>1335</v>
      </c>
      <c r="J173" s="84" t="s">
        <v>1331</v>
      </c>
      <c r="K173" s="84" t="s">
        <v>1328</v>
      </c>
      <c r="L173" s="84" t="s">
        <v>1336</v>
      </c>
      <c r="M173" s="93" t="s">
        <v>1332</v>
      </c>
    </row>
    <row r="174" spans="1:21" ht="15.75" hidden="1" thickBot="1" x14ac:dyDescent="0.3">
      <c r="A174" s="4" t="s">
        <v>37</v>
      </c>
      <c r="B174" s="92" t="s">
        <v>1337</v>
      </c>
      <c r="C174" s="84" t="s">
        <v>1345</v>
      </c>
      <c r="D174" s="84" t="s">
        <v>1341</v>
      </c>
      <c r="E174" s="84" t="s">
        <v>1338</v>
      </c>
      <c r="F174" s="84" t="s">
        <v>1346</v>
      </c>
      <c r="G174" s="84" t="s">
        <v>1342</v>
      </c>
      <c r="H174" s="84" t="s">
        <v>1339</v>
      </c>
      <c r="I174" s="84" t="s">
        <v>1347</v>
      </c>
      <c r="J174" s="84" t="s">
        <v>1343</v>
      </c>
      <c r="K174" s="84" t="s">
        <v>1340</v>
      </c>
      <c r="L174" s="84" t="s">
        <v>1348</v>
      </c>
      <c r="M174" s="93" t="s">
        <v>1344</v>
      </c>
    </row>
    <row r="175" spans="1:21" hidden="1" x14ac:dyDescent="0.25">
      <c r="A175" s="3" t="s">
        <v>38</v>
      </c>
      <c r="B175" s="92" t="s">
        <v>1349</v>
      </c>
      <c r="C175" s="84" t="s">
        <v>1357</v>
      </c>
      <c r="D175" s="84" t="s">
        <v>1353</v>
      </c>
      <c r="E175" s="84" t="s">
        <v>1350</v>
      </c>
      <c r="F175" s="84" t="s">
        <v>1358</v>
      </c>
      <c r="G175" s="84" t="s">
        <v>1354</v>
      </c>
      <c r="H175" s="84" t="s">
        <v>1351</v>
      </c>
      <c r="I175" s="84" t="s">
        <v>1359</v>
      </c>
      <c r="J175" s="84" t="s">
        <v>1355</v>
      </c>
      <c r="K175" s="84" t="s">
        <v>1352</v>
      </c>
      <c r="L175" s="84" t="s">
        <v>1360</v>
      </c>
      <c r="M175" s="93" t="s">
        <v>1356</v>
      </c>
    </row>
    <row r="176" spans="1:21" hidden="1" x14ac:dyDescent="0.25">
      <c r="A176" s="3" t="s">
        <v>39</v>
      </c>
      <c r="B176" s="92" t="s">
        <v>1525</v>
      </c>
      <c r="C176" s="84" t="s">
        <v>1529</v>
      </c>
      <c r="D176" s="84" t="s">
        <v>1529</v>
      </c>
      <c r="E176" s="84" t="s">
        <v>1526</v>
      </c>
      <c r="F176" s="84" t="s">
        <v>1530</v>
      </c>
      <c r="G176" s="84" t="s">
        <v>1530</v>
      </c>
      <c r="H176" s="84" t="s">
        <v>1527</v>
      </c>
      <c r="I176" s="84" t="s">
        <v>1531</v>
      </c>
      <c r="J176" s="84" t="s">
        <v>1531</v>
      </c>
      <c r="K176" s="84" t="s">
        <v>1528</v>
      </c>
      <c r="L176" s="84" t="s">
        <v>1532</v>
      </c>
      <c r="M176" s="93" t="s">
        <v>1532</v>
      </c>
    </row>
    <row r="177" spans="1:13" ht="15.75" hidden="1" thickBot="1" x14ac:dyDescent="0.3">
      <c r="A177" s="4" t="s">
        <v>40</v>
      </c>
      <c r="B177" s="68" t="s">
        <v>1584</v>
      </c>
      <c r="C177" s="65" t="s">
        <v>1594</v>
      </c>
      <c r="D177" s="16" t="s">
        <v>1588</v>
      </c>
      <c r="E177" s="16" t="s">
        <v>1585</v>
      </c>
      <c r="F177" s="65" t="s">
        <v>1593</v>
      </c>
      <c r="G177" s="16" t="s">
        <v>1589</v>
      </c>
      <c r="H177" s="16" t="s">
        <v>1586</v>
      </c>
      <c r="I177" s="65" t="s">
        <v>1592</v>
      </c>
      <c r="J177" s="16" t="s">
        <v>1590</v>
      </c>
      <c r="K177" s="16" t="s">
        <v>1587</v>
      </c>
      <c r="L177" s="16" t="s">
        <v>1335</v>
      </c>
      <c r="M177" s="76" t="s">
        <v>1591</v>
      </c>
    </row>
    <row r="178" spans="1:13" ht="15.75" hidden="1" thickBot="1" x14ac:dyDescent="0.3">
      <c r="A178" s="3" t="s">
        <v>11</v>
      </c>
      <c r="B178" s="92" t="s">
        <v>1361</v>
      </c>
      <c r="C178" s="84" t="s">
        <v>1369</v>
      </c>
      <c r="D178" s="84" t="s">
        <v>1365</v>
      </c>
      <c r="E178" s="84" t="s">
        <v>1362</v>
      </c>
      <c r="F178" s="84" t="s">
        <v>1370</v>
      </c>
      <c r="G178" s="84" t="s">
        <v>1366</v>
      </c>
      <c r="H178" s="84" t="s">
        <v>1363</v>
      </c>
      <c r="I178" s="84" t="s">
        <v>1371</v>
      </c>
      <c r="J178" s="84" t="s">
        <v>1367</v>
      </c>
      <c r="K178" s="84" t="s">
        <v>1364</v>
      </c>
      <c r="L178" s="84" t="s">
        <v>1372</v>
      </c>
      <c r="M178" s="93" t="s">
        <v>1368</v>
      </c>
    </row>
    <row r="179" spans="1:13" ht="15.75" hidden="1" thickBot="1" x14ac:dyDescent="0.3">
      <c r="A179" s="8" t="s">
        <v>8</v>
      </c>
      <c r="B179" s="92" t="s">
        <v>1373</v>
      </c>
      <c r="C179" s="84" t="s">
        <v>1379</v>
      </c>
      <c r="D179" s="84" t="s">
        <v>1375</v>
      </c>
      <c r="E179" s="84" t="s">
        <v>1374</v>
      </c>
      <c r="F179" s="84" t="s">
        <v>1380</v>
      </c>
      <c r="G179" s="84" t="s">
        <v>1376</v>
      </c>
      <c r="H179" s="84" t="s">
        <v>1374</v>
      </c>
      <c r="I179" s="84" t="s">
        <v>1380</v>
      </c>
      <c r="J179" s="84" t="s">
        <v>1377</v>
      </c>
      <c r="K179" s="84" t="s">
        <v>1374</v>
      </c>
      <c r="L179" s="84" t="s">
        <v>1380</v>
      </c>
      <c r="M179" s="93" t="s">
        <v>1378</v>
      </c>
    </row>
    <row r="180" spans="1:13" hidden="1" x14ac:dyDescent="0.25">
      <c r="A180" s="2" t="s">
        <v>4</v>
      </c>
      <c r="B180" s="92" t="s">
        <v>1381</v>
      </c>
      <c r="C180" s="84" t="s">
        <v>1389</v>
      </c>
      <c r="D180" s="84" t="s">
        <v>1385</v>
      </c>
      <c r="E180" s="84" t="s">
        <v>1382</v>
      </c>
      <c r="F180" s="84" t="s">
        <v>1390</v>
      </c>
      <c r="G180" s="84" t="s">
        <v>1386</v>
      </c>
      <c r="H180" s="84" t="s">
        <v>1383</v>
      </c>
      <c r="I180" s="84" t="s">
        <v>1391</v>
      </c>
      <c r="J180" s="84" t="s">
        <v>1387</v>
      </c>
      <c r="K180" s="84" t="s">
        <v>1384</v>
      </c>
      <c r="L180" s="84" t="s">
        <v>1392</v>
      </c>
      <c r="M180" s="93" t="s">
        <v>1388</v>
      </c>
    </row>
    <row r="181" spans="1:13" ht="15.75" hidden="1" thickBot="1" x14ac:dyDescent="0.3">
      <c r="A181" s="4" t="s">
        <v>5</v>
      </c>
      <c r="B181" s="68" t="s">
        <v>1535</v>
      </c>
      <c r="C181" s="16" t="s">
        <v>1543</v>
      </c>
      <c r="D181" s="16" t="s">
        <v>1539</v>
      </c>
      <c r="E181" s="16" t="s">
        <v>1536</v>
      </c>
      <c r="F181" s="16" t="s">
        <v>1544</v>
      </c>
      <c r="G181" s="16" t="s">
        <v>1540</v>
      </c>
      <c r="H181" s="16" t="s">
        <v>1537</v>
      </c>
      <c r="I181" s="16" t="s">
        <v>1545</v>
      </c>
      <c r="J181" s="16" t="s">
        <v>1541</v>
      </c>
      <c r="K181" s="16" t="s">
        <v>1538</v>
      </c>
      <c r="L181" s="16" t="s">
        <v>1546</v>
      </c>
      <c r="M181" s="76" t="s">
        <v>1542</v>
      </c>
    </row>
    <row r="182" spans="1:13" hidden="1" x14ac:dyDescent="0.25">
      <c r="A182" s="2" t="s">
        <v>13</v>
      </c>
      <c r="B182" s="92" t="s">
        <v>1393</v>
      </c>
      <c r="C182" s="84" t="s">
        <v>1401</v>
      </c>
      <c r="D182" s="84" t="s">
        <v>1397</v>
      </c>
      <c r="E182" s="84" t="s">
        <v>1394</v>
      </c>
      <c r="F182" s="84" t="s">
        <v>1402</v>
      </c>
      <c r="G182" s="84" t="s">
        <v>1398</v>
      </c>
      <c r="H182" s="84" t="s">
        <v>1395</v>
      </c>
      <c r="I182" s="84" t="s">
        <v>1402</v>
      </c>
      <c r="J182" s="84" t="s">
        <v>1399</v>
      </c>
      <c r="K182" s="84" t="s">
        <v>1396</v>
      </c>
      <c r="L182" s="84" t="s">
        <v>1402</v>
      </c>
      <c r="M182" s="93" t="s">
        <v>1400</v>
      </c>
    </row>
    <row r="183" spans="1:13" ht="15.75" hidden="1" thickBot="1" x14ac:dyDescent="0.3">
      <c r="A183" s="4" t="s">
        <v>14</v>
      </c>
      <c r="B183" s="94" t="s">
        <v>1514</v>
      </c>
      <c r="C183" s="95" t="s">
        <v>1522</v>
      </c>
      <c r="D183" s="95" t="s">
        <v>1518</v>
      </c>
      <c r="E183" s="95" t="s">
        <v>1515</v>
      </c>
      <c r="F183" s="95" t="s">
        <v>1523</v>
      </c>
      <c r="G183" s="95" t="s">
        <v>1519</v>
      </c>
      <c r="H183" s="95" t="s">
        <v>1516</v>
      </c>
      <c r="I183" s="95" t="s">
        <v>1523</v>
      </c>
      <c r="J183" s="95" t="s">
        <v>1520</v>
      </c>
      <c r="K183" s="95" t="s">
        <v>1517</v>
      </c>
      <c r="L183" s="95" t="s">
        <v>1524</v>
      </c>
      <c r="M183" s="96" t="s">
        <v>1521</v>
      </c>
    </row>
    <row r="184" spans="1:13" hidden="1" x14ac:dyDescent="0.25"/>
    <row r="185" spans="1:13" hidden="1" x14ac:dyDescent="0.25"/>
    <row r="186" spans="1:13" ht="15.75" hidden="1" thickBot="1" x14ac:dyDescent="0.3"/>
    <row r="187" spans="1:13" ht="15.75" hidden="1" thickBot="1" x14ac:dyDescent="0.3">
      <c r="A187" s="217" t="s">
        <v>1559</v>
      </c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5"/>
    </row>
    <row r="188" spans="1:13" hidden="1" x14ac:dyDescent="0.25">
      <c r="A188" s="222" t="s">
        <v>1035</v>
      </c>
      <c r="B188" s="220" t="s">
        <v>46</v>
      </c>
      <c r="C188" s="221"/>
      <c r="D188" s="221"/>
      <c r="E188" s="216" t="s">
        <v>32</v>
      </c>
      <c r="F188" s="216"/>
      <c r="G188" s="216"/>
      <c r="H188" s="216" t="s">
        <v>1133</v>
      </c>
      <c r="I188" s="216"/>
      <c r="J188" s="216"/>
      <c r="K188" s="216" t="s">
        <v>1134</v>
      </c>
      <c r="L188" s="216"/>
      <c r="M188" s="215"/>
    </row>
    <row r="189" spans="1:13" ht="15.75" hidden="1" thickBot="1" x14ac:dyDescent="0.3">
      <c r="A189" s="223"/>
      <c r="B189" s="3" t="s">
        <v>47</v>
      </c>
      <c r="C189" t="s">
        <v>1533</v>
      </c>
      <c r="D189" t="s">
        <v>48</v>
      </c>
      <c r="E189" t="s">
        <v>47</v>
      </c>
      <c r="F189" t="s">
        <v>1533</v>
      </c>
      <c r="G189" t="s">
        <v>48</v>
      </c>
      <c r="H189" t="s">
        <v>47</v>
      </c>
      <c r="I189" t="s">
        <v>1533</v>
      </c>
      <c r="J189" t="s">
        <v>48</v>
      </c>
      <c r="K189" t="s">
        <v>47</v>
      </c>
      <c r="L189" t="s">
        <v>1533</v>
      </c>
      <c r="M189" s="6" t="s">
        <v>48</v>
      </c>
    </row>
    <row r="190" spans="1:13" hidden="1" x14ac:dyDescent="0.25">
      <c r="A190" s="2" t="s">
        <v>35</v>
      </c>
      <c r="B190" s="89" t="s">
        <v>1403</v>
      </c>
      <c r="C190" s="90" t="s">
        <v>1411</v>
      </c>
      <c r="D190" s="90" t="s">
        <v>1407</v>
      </c>
      <c r="E190" s="90" t="s">
        <v>1404</v>
      </c>
      <c r="F190" s="90" t="s">
        <v>1412</v>
      </c>
      <c r="G190" s="90" t="s">
        <v>1408</v>
      </c>
      <c r="H190" s="90" t="s">
        <v>1405</v>
      </c>
      <c r="I190" s="90" t="s">
        <v>1413</v>
      </c>
      <c r="J190" s="90" t="s">
        <v>1409</v>
      </c>
      <c r="K190" s="90" t="s">
        <v>1406</v>
      </c>
      <c r="L190" s="90" t="s">
        <v>1414</v>
      </c>
      <c r="M190" s="91" t="s">
        <v>1410</v>
      </c>
    </row>
    <row r="191" spans="1:13" hidden="1" x14ac:dyDescent="0.25">
      <c r="A191" s="3" t="s">
        <v>36</v>
      </c>
      <c r="B191" s="92" t="s">
        <v>1415</v>
      </c>
      <c r="C191" s="84" t="s">
        <v>1423</v>
      </c>
      <c r="D191" s="84" t="s">
        <v>1419</v>
      </c>
      <c r="E191" s="84" t="s">
        <v>1416</v>
      </c>
      <c r="F191" s="84" t="s">
        <v>1424</v>
      </c>
      <c r="G191" s="84" t="s">
        <v>1420</v>
      </c>
      <c r="H191" s="84" t="s">
        <v>1417</v>
      </c>
      <c r="I191" s="84" t="s">
        <v>1425</v>
      </c>
      <c r="J191" s="84" t="s">
        <v>1421</v>
      </c>
      <c r="K191" s="84" t="s">
        <v>1418</v>
      </c>
      <c r="L191" s="84" t="s">
        <v>1426</v>
      </c>
      <c r="M191" s="93" t="s">
        <v>1422</v>
      </c>
    </row>
    <row r="192" spans="1:13" ht="15.75" hidden="1" thickBot="1" x14ac:dyDescent="0.3">
      <c r="A192" s="4" t="s">
        <v>37</v>
      </c>
      <c r="B192" s="92" t="s">
        <v>1427</v>
      </c>
      <c r="C192" s="84" t="s">
        <v>1435</v>
      </c>
      <c r="D192" s="84" t="s">
        <v>1431</v>
      </c>
      <c r="E192" s="84" t="s">
        <v>1428</v>
      </c>
      <c r="F192" s="84" t="s">
        <v>1436</v>
      </c>
      <c r="G192" s="84" t="s">
        <v>1432</v>
      </c>
      <c r="H192" s="84" t="s">
        <v>1429</v>
      </c>
      <c r="I192" s="84" t="s">
        <v>1437</v>
      </c>
      <c r="J192" s="84" t="s">
        <v>1433</v>
      </c>
      <c r="K192" s="84" t="s">
        <v>1430</v>
      </c>
      <c r="L192" s="84" t="s">
        <v>1438</v>
      </c>
      <c r="M192" s="93" t="s">
        <v>1434</v>
      </c>
    </row>
    <row r="193" spans="1:13" hidden="1" x14ac:dyDescent="0.25">
      <c r="A193" s="3" t="s">
        <v>38</v>
      </c>
      <c r="B193" s="92" t="s">
        <v>1439</v>
      </c>
      <c r="C193" s="84" t="s">
        <v>1447</v>
      </c>
      <c r="D193" s="84" t="s">
        <v>1443</v>
      </c>
      <c r="E193" s="84" t="s">
        <v>1440</v>
      </c>
      <c r="F193" s="84" t="s">
        <v>1448</v>
      </c>
      <c r="G193" s="84" t="s">
        <v>1444</v>
      </c>
      <c r="H193" s="84" t="s">
        <v>1441</v>
      </c>
      <c r="I193" s="84" t="s">
        <v>1449</v>
      </c>
      <c r="J193" s="84" t="s">
        <v>1445</v>
      </c>
      <c r="K193" s="84" t="s">
        <v>1442</v>
      </c>
      <c r="L193" s="84" t="s">
        <v>1450</v>
      </c>
      <c r="M193" s="93" t="s">
        <v>1446</v>
      </c>
    </row>
    <row r="194" spans="1:13" hidden="1" x14ac:dyDescent="0.25">
      <c r="A194" s="3" t="s">
        <v>39</v>
      </c>
      <c r="B194" s="92" t="s">
        <v>1451</v>
      </c>
      <c r="C194" s="84" t="s">
        <v>1459</v>
      </c>
      <c r="D194" s="84" t="s">
        <v>1455</v>
      </c>
      <c r="E194" s="84" t="s">
        <v>1452</v>
      </c>
      <c r="F194" s="84" t="s">
        <v>1460</v>
      </c>
      <c r="G194" s="84" t="s">
        <v>1456</v>
      </c>
      <c r="H194" s="84" t="s">
        <v>1453</v>
      </c>
      <c r="I194" s="84" t="s">
        <v>1461</v>
      </c>
      <c r="J194" s="84" t="s">
        <v>1457</v>
      </c>
      <c r="K194" s="84" t="s">
        <v>1454</v>
      </c>
      <c r="L194" s="84" t="s">
        <v>1462</v>
      </c>
      <c r="M194" s="93" t="s">
        <v>1458</v>
      </c>
    </row>
    <row r="195" spans="1:13" ht="15.75" hidden="1" thickBot="1" x14ac:dyDescent="0.3">
      <c r="A195" s="4" t="s">
        <v>40</v>
      </c>
      <c r="B195" s="68" t="s">
        <v>1547</v>
      </c>
      <c r="C195" s="16" t="s">
        <v>1551</v>
      </c>
      <c r="D195" s="65" t="s">
        <v>1557</v>
      </c>
      <c r="E195" s="16" t="s">
        <v>1548</v>
      </c>
      <c r="F195" s="16" t="s">
        <v>1552</v>
      </c>
      <c r="G195" s="65" t="s">
        <v>1556</v>
      </c>
      <c r="H195" s="16" t="s">
        <v>1549</v>
      </c>
      <c r="I195" s="16" t="s">
        <v>1553</v>
      </c>
      <c r="J195" s="65" t="s">
        <v>1555</v>
      </c>
      <c r="K195" s="16" t="s">
        <v>1550</v>
      </c>
      <c r="L195" s="16" t="s">
        <v>1558</v>
      </c>
      <c r="M195" s="76" t="s">
        <v>1554</v>
      </c>
    </row>
    <row r="196" spans="1:13" ht="15.75" hidden="1" thickBot="1" x14ac:dyDescent="0.3">
      <c r="A196" s="3" t="s">
        <v>11</v>
      </c>
      <c r="B196" s="92" t="s">
        <v>1463</v>
      </c>
      <c r="C196" s="84" t="s">
        <v>1471</v>
      </c>
      <c r="D196" s="84" t="s">
        <v>1467</v>
      </c>
      <c r="E196" s="84" t="s">
        <v>1464</v>
      </c>
      <c r="F196" s="84" t="s">
        <v>1472</v>
      </c>
      <c r="G196" s="84" t="s">
        <v>1468</v>
      </c>
      <c r="H196" s="84" t="s">
        <v>1465</v>
      </c>
      <c r="I196" s="84" t="s">
        <v>1473</v>
      </c>
      <c r="J196" s="84" t="s">
        <v>1469</v>
      </c>
      <c r="K196" s="84" t="s">
        <v>1466</v>
      </c>
      <c r="L196" s="84" t="s">
        <v>1474</v>
      </c>
      <c r="M196" s="93" t="s">
        <v>1470</v>
      </c>
    </row>
    <row r="197" spans="1:13" ht="15.75" hidden="1" thickBot="1" x14ac:dyDescent="0.3">
      <c r="A197" s="8" t="s">
        <v>8</v>
      </c>
      <c r="B197" s="92" t="s">
        <v>1475</v>
      </c>
      <c r="C197" s="84" t="s">
        <v>1483</v>
      </c>
      <c r="D197" s="84" t="s">
        <v>1479</v>
      </c>
      <c r="E197" s="84" t="s">
        <v>1476</v>
      </c>
      <c r="F197" s="84" t="s">
        <v>1484</v>
      </c>
      <c r="G197" s="84" t="s">
        <v>1480</v>
      </c>
      <c r="H197" s="84" t="s">
        <v>1477</v>
      </c>
      <c r="I197" s="84" t="s">
        <v>1484</v>
      </c>
      <c r="J197" s="84" t="s">
        <v>1481</v>
      </c>
      <c r="K197" s="84" t="s">
        <v>1478</v>
      </c>
      <c r="L197" s="84" t="s">
        <v>1484</v>
      </c>
      <c r="M197" s="93" t="s">
        <v>1482</v>
      </c>
    </row>
    <row r="198" spans="1:13" hidden="1" x14ac:dyDescent="0.25">
      <c r="A198" s="2" t="s">
        <v>4</v>
      </c>
      <c r="B198" s="92" t="s">
        <v>1485</v>
      </c>
      <c r="C198" s="84" t="s">
        <v>1493</v>
      </c>
      <c r="D198" s="84" t="s">
        <v>1489</v>
      </c>
      <c r="E198" s="84" t="s">
        <v>1486</v>
      </c>
      <c r="F198" s="84" t="s">
        <v>1494</v>
      </c>
      <c r="G198" s="84" t="s">
        <v>1490</v>
      </c>
      <c r="H198" s="84" t="s">
        <v>1487</v>
      </c>
      <c r="I198" s="84" t="s">
        <v>1495</v>
      </c>
      <c r="J198" s="84" t="s">
        <v>1491</v>
      </c>
      <c r="K198" s="84" t="s">
        <v>1488</v>
      </c>
      <c r="L198" s="84" t="s">
        <v>1496</v>
      </c>
      <c r="M198" s="93" t="s">
        <v>1492</v>
      </c>
    </row>
    <row r="199" spans="1:13" ht="15.75" hidden="1" thickBot="1" x14ac:dyDescent="0.3">
      <c r="A199" s="4" t="s">
        <v>5</v>
      </c>
      <c r="B199" s="68" t="s">
        <v>1595</v>
      </c>
      <c r="C199" s="65" t="s">
        <v>1606</v>
      </c>
      <c r="D199" s="16" t="s">
        <v>1599</v>
      </c>
      <c r="E199" s="16" t="s">
        <v>1596</v>
      </c>
      <c r="F199" s="65" t="s">
        <v>1605</v>
      </c>
      <c r="G199" s="16" t="s">
        <v>1600</v>
      </c>
      <c r="H199" s="16" t="s">
        <v>1597</v>
      </c>
      <c r="I199" s="65" t="s">
        <v>1604</v>
      </c>
      <c r="J199" s="16" t="s">
        <v>1601</v>
      </c>
      <c r="K199" s="16" t="s">
        <v>1598</v>
      </c>
      <c r="L199" s="16" t="s">
        <v>1603</v>
      </c>
      <c r="M199" s="76" t="s">
        <v>1602</v>
      </c>
    </row>
    <row r="200" spans="1:13" hidden="1" x14ac:dyDescent="0.25">
      <c r="A200" s="2" t="s">
        <v>13</v>
      </c>
      <c r="B200" s="92" t="s">
        <v>1497</v>
      </c>
      <c r="C200" s="84" t="s">
        <v>1503</v>
      </c>
      <c r="D200" s="84" t="s">
        <v>1499</v>
      </c>
      <c r="E200" s="84" t="s">
        <v>1498</v>
      </c>
      <c r="F200" s="84" t="s">
        <v>1504</v>
      </c>
      <c r="G200" s="84" t="s">
        <v>1500</v>
      </c>
      <c r="H200" s="84" t="s">
        <v>1498</v>
      </c>
      <c r="I200" s="84" t="s">
        <v>1504</v>
      </c>
      <c r="J200" s="84" t="s">
        <v>1501</v>
      </c>
      <c r="K200" s="84" t="s">
        <v>1498</v>
      </c>
      <c r="L200" s="84" t="s">
        <v>1504</v>
      </c>
      <c r="M200" s="93" t="s">
        <v>1502</v>
      </c>
    </row>
    <row r="201" spans="1:13" ht="15.75" hidden="1" thickBot="1" x14ac:dyDescent="0.3">
      <c r="A201" s="4" t="s">
        <v>14</v>
      </c>
      <c r="B201" s="94" t="s">
        <v>1505</v>
      </c>
      <c r="C201" s="95" t="s">
        <v>1512</v>
      </c>
      <c r="D201" s="95" t="s">
        <v>1508</v>
      </c>
      <c r="E201" s="95" t="s">
        <v>1506</v>
      </c>
      <c r="F201" s="95" t="s">
        <v>1513</v>
      </c>
      <c r="G201" s="95" t="s">
        <v>1509</v>
      </c>
      <c r="H201" s="95" t="s">
        <v>1507</v>
      </c>
      <c r="I201" s="95" t="s">
        <v>1513</v>
      </c>
      <c r="J201" s="95" t="s">
        <v>1510</v>
      </c>
      <c r="K201" s="95" t="s">
        <v>1507</v>
      </c>
      <c r="L201" s="95" t="s">
        <v>1513</v>
      </c>
      <c r="M201" s="96" t="s">
        <v>1511</v>
      </c>
    </row>
    <row r="202" spans="1:13" hidden="1" x14ac:dyDescent="0.25"/>
    <row r="203" spans="1:13" hidden="1" x14ac:dyDescent="0.25"/>
    <row r="204" spans="1:13" ht="15.75" thickBot="1" x14ac:dyDescent="0.3"/>
    <row r="205" spans="1:13" ht="15.75" thickBot="1" x14ac:dyDescent="0.3">
      <c r="A205" s="217" t="s">
        <v>208</v>
      </c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5"/>
    </row>
    <row r="206" spans="1:13" x14ac:dyDescent="0.25">
      <c r="A206" s="222" t="s">
        <v>1035</v>
      </c>
      <c r="B206" s="220" t="s">
        <v>46</v>
      </c>
      <c r="C206" s="221"/>
      <c r="D206" s="221"/>
      <c r="E206" s="216" t="s">
        <v>34</v>
      </c>
      <c r="F206" s="216"/>
      <c r="G206" s="216"/>
      <c r="H206" s="216" t="s">
        <v>32</v>
      </c>
      <c r="I206" s="216"/>
      <c r="J206" s="216"/>
      <c r="K206" s="216" t="s">
        <v>41</v>
      </c>
      <c r="L206" s="216"/>
      <c r="M206" s="215"/>
    </row>
    <row r="207" spans="1:13" ht="15.75" thickBot="1" x14ac:dyDescent="0.3">
      <c r="A207" s="223"/>
      <c r="B207" s="3" t="s">
        <v>47</v>
      </c>
      <c r="C207" t="s">
        <v>1533</v>
      </c>
      <c r="D207" t="s">
        <v>48</v>
      </c>
      <c r="E207" t="s">
        <v>47</v>
      </c>
      <c r="F207" t="s">
        <v>1533</v>
      </c>
      <c r="G207" t="s">
        <v>48</v>
      </c>
      <c r="H207" t="s">
        <v>47</v>
      </c>
      <c r="I207" t="s">
        <v>1533</v>
      </c>
      <c r="J207" t="s">
        <v>48</v>
      </c>
      <c r="K207" t="s">
        <v>47</v>
      </c>
      <c r="L207" t="s">
        <v>1533</v>
      </c>
      <c r="M207" s="6" t="s">
        <v>48</v>
      </c>
    </row>
    <row r="208" spans="1:13" x14ac:dyDescent="0.25">
      <c r="A208" s="2" t="s">
        <v>35</v>
      </c>
      <c r="B208" s="77" t="s">
        <v>1743</v>
      </c>
      <c r="C208" s="72" t="s">
        <v>1751</v>
      </c>
      <c r="D208" s="72" t="s">
        <v>1747</v>
      </c>
      <c r="E208" s="72" t="s">
        <v>1744</v>
      </c>
      <c r="F208" s="72" t="s">
        <v>423</v>
      </c>
      <c r="G208" s="72" t="s">
        <v>1748</v>
      </c>
      <c r="H208" s="72" t="s">
        <v>1745</v>
      </c>
      <c r="I208" s="72" t="s">
        <v>1752</v>
      </c>
      <c r="J208" s="72" t="s">
        <v>1749</v>
      </c>
      <c r="K208" s="72" t="s">
        <v>1746</v>
      </c>
      <c r="L208" s="72" t="s">
        <v>1753</v>
      </c>
      <c r="M208" s="118" t="s">
        <v>1750</v>
      </c>
    </row>
    <row r="209" spans="1:13" x14ac:dyDescent="0.25">
      <c r="A209" s="3" t="s">
        <v>36</v>
      </c>
      <c r="B209" s="68" t="s">
        <v>1754</v>
      </c>
      <c r="C209" s="16" t="s">
        <v>1758</v>
      </c>
      <c r="D209" s="16" t="s">
        <v>1762</v>
      </c>
      <c r="E209" s="16" t="s">
        <v>1755</v>
      </c>
      <c r="F209" s="16" t="s">
        <v>423</v>
      </c>
      <c r="G209" s="16" t="s">
        <v>1759</v>
      </c>
      <c r="H209" s="16" t="s">
        <v>1756</v>
      </c>
      <c r="I209" s="16" t="s">
        <v>1763</v>
      </c>
      <c r="J209" s="16" t="s">
        <v>1760</v>
      </c>
      <c r="K209" s="16" t="s">
        <v>1757</v>
      </c>
      <c r="L209" s="16" t="s">
        <v>1764</v>
      </c>
      <c r="M209" s="76" t="s">
        <v>1761</v>
      </c>
    </row>
    <row r="210" spans="1:13" ht="15.75" thickBot="1" x14ac:dyDescent="0.3">
      <c r="A210" s="4" t="s">
        <v>37</v>
      </c>
      <c r="B210" s="68" t="s">
        <v>1765</v>
      </c>
      <c r="C210" s="16" t="s">
        <v>1773</v>
      </c>
      <c r="D210" s="16" t="s">
        <v>1769</v>
      </c>
      <c r="E210" s="16" t="s">
        <v>1766</v>
      </c>
      <c r="F210" s="16" t="s">
        <v>423</v>
      </c>
      <c r="G210" s="16" t="s">
        <v>1770</v>
      </c>
      <c r="H210" s="16" t="s">
        <v>1767</v>
      </c>
      <c r="I210" s="16" t="s">
        <v>1774</v>
      </c>
      <c r="J210" s="16" t="s">
        <v>1771</v>
      </c>
      <c r="K210" s="16" t="s">
        <v>1768</v>
      </c>
      <c r="L210" s="16" t="s">
        <v>1775</v>
      </c>
      <c r="M210" s="76" t="s">
        <v>1772</v>
      </c>
    </row>
    <row r="211" spans="1:13" x14ac:dyDescent="0.25">
      <c r="A211" s="3" t="s">
        <v>38</v>
      </c>
      <c r="B211" s="68" t="s">
        <v>2095</v>
      </c>
      <c r="C211" s="16" t="s">
        <v>2103</v>
      </c>
      <c r="D211" s="16" t="s">
        <v>2099</v>
      </c>
      <c r="E211" s="16" t="s">
        <v>2096</v>
      </c>
      <c r="F211" s="16" t="s">
        <v>423</v>
      </c>
      <c r="G211" s="16" t="s">
        <v>2100</v>
      </c>
      <c r="H211" s="16" t="s">
        <v>2097</v>
      </c>
      <c r="I211" s="16" t="s">
        <v>2104</v>
      </c>
      <c r="J211" s="16" t="s">
        <v>2101</v>
      </c>
      <c r="K211" s="16" t="s">
        <v>2098</v>
      </c>
      <c r="L211" s="16" t="s">
        <v>2105</v>
      </c>
      <c r="M211" s="76" t="s">
        <v>2102</v>
      </c>
    </row>
    <row r="212" spans="1:13" x14ac:dyDescent="0.25">
      <c r="A212" s="3" t="s">
        <v>39</v>
      </c>
      <c r="B212" s="68" t="s">
        <v>2145</v>
      </c>
      <c r="C212" s="16" t="s">
        <v>2153</v>
      </c>
      <c r="D212" s="16" t="s">
        <v>2149</v>
      </c>
      <c r="E212" s="16" t="s">
        <v>2146</v>
      </c>
      <c r="F212" s="16" t="s">
        <v>423</v>
      </c>
      <c r="G212" s="16" t="s">
        <v>2150</v>
      </c>
      <c r="H212" s="16" t="s">
        <v>2147</v>
      </c>
      <c r="I212" s="16" t="s">
        <v>2154</v>
      </c>
      <c r="J212" s="16" t="s">
        <v>2151</v>
      </c>
      <c r="K212" s="16" t="s">
        <v>2148</v>
      </c>
      <c r="L212" s="16" t="s">
        <v>2155</v>
      </c>
      <c r="M212" s="76" t="s">
        <v>2152</v>
      </c>
    </row>
    <row r="213" spans="1:13" ht="15.75" thickBot="1" x14ac:dyDescent="0.3">
      <c r="A213" s="4" t="s">
        <v>40</v>
      </c>
      <c r="B213" s="17" t="s">
        <v>2219</v>
      </c>
      <c r="C213" s="17" t="s">
        <v>2227</v>
      </c>
      <c r="D213" s="161" t="s">
        <v>2226</v>
      </c>
      <c r="E213" s="16" t="s">
        <v>2220</v>
      </c>
      <c r="F213" s="65"/>
      <c r="G213" s="65" t="s">
        <v>2225</v>
      </c>
      <c r="H213" s="16" t="s">
        <v>2221</v>
      </c>
      <c r="I213" s="16" t="s">
        <v>511</v>
      </c>
      <c r="J213" s="65" t="s">
        <v>2224</v>
      </c>
      <c r="K213" s="122" t="s">
        <v>2222</v>
      </c>
      <c r="L213" s="122" t="s">
        <v>2228</v>
      </c>
      <c r="M213" s="122" t="s">
        <v>2223</v>
      </c>
    </row>
    <row r="214" spans="1:13" ht="15.75" thickBot="1" x14ac:dyDescent="0.3">
      <c r="A214" s="3" t="s">
        <v>11</v>
      </c>
      <c r="B214" s="68" t="s">
        <v>1776</v>
      </c>
      <c r="C214" s="16" t="s">
        <v>1784</v>
      </c>
      <c r="D214" s="16" t="s">
        <v>1780</v>
      </c>
      <c r="E214" s="16" t="s">
        <v>1777</v>
      </c>
      <c r="F214" s="16" t="s">
        <v>423</v>
      </c>
      <c r="G214" s="16" t="s">
        <v>1781</v>
      </c>
      <c r="H214" s="16" t="s">
        <v>1778</v>
      </c>
      <c r="I214" s="16" t="s">
        <v>1785</v>
      </c>
      <c r="J214" s="16" t="s">
        <v>1782</v>
      </c>
      <c r="K214" s="16" t="s">
        <v>1779</v>
      </c>
      <c r="L214" s="16" t="s">
        <v>1786</v>
      </c>
      <c r="M214" s="76" t="s">
        <v>1783</v>
      </c>
    </row>
    <row r="215" spans="1:13" ht="15.75" thickBot="1" x14ac:dyDescent="0.3">
      <c r="A215" s="8" t="s">
        <v>8</v>
      </c>
      <c r="B215" s="68" t="s">
        <v>1787</v>
      </c>
      <c r="C215" s="16" t="s">
        <v>1793</v>
      </c>
      <c r="D215" s="16" t="s">
        <v>1790</v>
      </c>
      <c r="E215" s="16" t="s">
        <v>1788</v>
      </c>
      <c r="F215" s="16" t="s">
        <v>423</v>
      </c>
      <c r="G215" s="16" t="s">
        <v>1791</v>
      </c>
      <c r="H215" s="16" t="s">
        <v>1789</v>
      </c>
      <c r="I215" s="16" t="s">
        <v>1794</v>
      </c>
      <c r="J215" s="16" t="s">
        <v>1792</v>
      </c>
      <c r="K215" s="16" t="s">
        <v>1789</v>
      </c>
      <c r="L215" s="16" t="s">
        <v>1794</v>
      </c>
      <c r="M215" s="76" t="s">
        <v>295</v>
      </c>
    </row>
    <row r="216" spans="1:13" x14ac:dyDescent="0.25">
      <c r="A216" s="2" t="s">
        <v>4</v>
      </c>
      <c r="B216" s="68" t="s">
        <v>1795</v>
      </c>
      <c r="C216" s="16" t="s">
        <v>1803</v>
      </c>
      <c r="D216" s="16" t="s">
        <v>1799</v>
      </c>
      <c r="E216" s="16" t="s">
        <v>1796</v>
      </c>
      <c r="F216" s="16" t="s">
        <v>423</v>
      </c>
      <c r="G216" s="16" t="s">
        <v>1800</v>
      </c>
      <c r="H216" s="16" t="s">
        <v>1797</v>
      </c>
      <c r="I216" s="16" t="s">
        <v>1804</v>
      </c>
      <c r="J216" s="16" t="s">
        <v>1801</v>
      </c>
      <c r="K216" s="16" t="s">
        <v>1798</v>
      </c>
      <c r="L216" s="16" t="s">
        <v>1805</v>
      </c>
      <c r="M216" s="76" t="s">
        <v>1802</v>
      </c>
    </row>
    <row r="217" spans="1:13" ht="15.75" thickBot="1" x14ac:dyDescent="0.3">
      <c r="A217" s="4" t="s">
        <v>5</v>
      </c>
      <c r="B217" s="68" t="s">
        <v>2156</v>
      </c>
      <c r="C217" s="16" t="s">
        <v>2164</v>
      </c>
      <c r="D217" s="16" t="s">
        <v>2160</v>
      </c>
      <c r="E217" s="16" t="s">
        <v>2157</v>
      </c>
      <c r="F217" s="16" t="s">
        <v>423</v>
      </c>
      <c r="G217" s="16" t="s">
        <v>2161</v>
      </c>
      <c r="H217" s="16" t="s">
        <v>2158</v>
      </c>
      <c r="I217" s="16" t="s">
        <v>2165</v>
      </c>
      <c r="J217" s="16" t="s">
        <v>2162</v>
      </c>
      <c r="K217" s="16" t="s">
        <v>2159</v>
      </c>
      <c r="L217" s="16" t="s">
        <v>2166</v>
      </c>
      <c r="M217" s="76" t="s">
        <v>2163</v>
      </c>
    </row>
    <row r="218" spans="1:13" x14ac:dyDescent="0.25">
      <c r="A218" s="2" t="s">
        <v>13</v>
      </c>
      <c r="B218" s="68" t="s">
        <v>1806</v>
      </c>
      <c r="C218" s="16" t="s">
        <v>1814</v>
      </c>
      <c r="D218" s="16" t="s">
        <v>1810</v>
      </c>
      <c r="E218" s="16" t="s">
        <v>1807</v>
      </c>
      <c r="F218" s="16" t="s">
        <v>423</v>
      </c>
      <c r="G218" s="16" t="s">
        <v>1811</v>
      </c>
      <c r="H218" s="16" t="s">
        <v>1808</v>
      </c>
      <c r="I218" s="16" t="s">
        <v>1815</v>
      </c>
      <c r="J218" s="16" t="s">
        <v>1812</v>
      </c>
      <c r="K218" s="16" t="s">
        <v>1809</v>
      </c>
      <c r="L218" s="16" t="s">
        <v>1815</v>
      </c>
      <c r="M218" s="76" t="s">
        <v>1813</v>
      </c>
    </row>
    <row r="219" spans="1:13" ht="15.75" thickBot="1" x14ac:dyDescent="0.3">
      <c r="A219" s="4" t="s">
        <v>14</v>
      </c>
      <c r="B219" s="73" t="s">
        <v>1816</v>
      </c>
      <c r="C219" s="70" t="s">
        <v>1824</v>
      </c>
      <c r="D219" s="70" t="s">
        <v>1820</v>
      </c>
      <c r="E219" s="70" t="s">
        <v>1817</v>
      </c>
      <c r="F219" s="70" t="s">
        <v>423</v>
      </c>
      <c r="G219" s="70" t="s">
        <v>1821</v>
      </c>
      <c r="H219" s="70" t="s">
        <v>1818</v>
      </c>
      <c r="I219" s="70" t="s">
        <v>1825</v>
      </c>
      <c r="J219" s="70" t="s">
        <v>1822</v>
      </c>
      <c r="K219" s="70" t="s">
        <v>1819</v>
      </c>
      <c r="L219" s="70" t="s">
        <v>1825</v>
      </c>
      <c r="M219" s="119" t="s">
        <v>1823</v>
      </c>
    </row>
    <row r="222" spans="1:13" ht="15.75" thickBot="1" x14ac:dyDescent="0.3"/>
    <row r="223" spans="1:13" ht="15.75" thickBot="1" x14ac:dyDescent="0.3">
      <c r="A223" s="217" t="s">
        <v>1559</v>
      </c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5"/>
    </row>
    <row r="224" spans="1:13" x14ac:dyDescent="0.25">
      <c r="A224" s="222" t="s">
        <v>1035</v>
      </c>
      <c r="B224" s="220" t="s">
        <v>46</v>
      </c>
      <c r="C224" s="221"/>
      <c r="D224" s="221"/>
      <c r="E224" s="216" t="s">
        <v>34</v>
      </c>
      <c r="F224" s="216"/>
      <c r="G224" s="216"/>
      <c r="H224" s="216" t="s">
        <v>32</v>
      </c>
      <c r="I224" s="216"/>
      <c r="J224" s="216"/>
      <c r="K224" s="216" t="s">
        <v>41</v>
      </c>
      <c r="L224" s="216"/>
      <c r="M224" s="216"/>
    </row>
    <row r="225" spans="1:13" ht="15.75" thickBot="1" x14ac:dyDescent="0.3">
      <c r="A225" s="223"/>
      <c r="B225" s="3" t="s">
        <v>47</v>
      </c>
      <c r="C225" t="s">
        <v>1533</v>
      </c>
      <c r="D225" t="s">
        <v>48</v>
      </c>
      <c r="E225" t="s">
        <v>47</v>
      </c>
      <c r="F225" t="s">
        <v>1533</v>
      </c>
      <c r="G225" t="s">
        <v>48</v>
      </c>
      <c r="H225" t="s">
        <v>47</v>
      </c>
      <c r="I225" t="s">
        <v>1533</v>
      </c>
      <c r="J225" t="s">
        <v>48</v>
      </c>
      <c r="K225" t="s">
        <v>47</v>
      </c>
      <c r="L225" t="s">
        <v>1533</v>
      </c>
      <c r="M225" s="6" t="s">
        <v>48</v>
      </c>
    </row>
    <row r="226" spans="1:13" x14ac:dyDescent="0.25">
      <c r="A226" s="2" t="s">
        <v>35</v>
      </c>
      <c r="B226" s="77" t="s">
        <v>1826</v>
      </c>
      <c r="C226" s="72" t="s">
        <v>1834</v>
      </c>
      <c r="D226" s="72" t="s">
        <v>1830</v>
      </c>
      <c r="E226" s="72" t="s">
        <v>1827</v>
      </c>
      <c r="F226" s="72" t="s">
        <v>423</v>
      </c>
      <c r="G226" s="72" t="s">
        <v>1831</v>
      </c>
      <c r="H226" s="72" t="s">
        <v>1828</v>
      </c>
      <c r="I226" s="72" t="s">
        <v>1835</v>
      </c>
      <c r="J226" s="72" t="s">
        <v>1832</v>
      </c>
      <c r="K226" s="72" t="s">
        <v>1829</v>
      </c>
      <c r="L226" s="72" t="s">
        <v>1836</v>
      </c>
      <c r="M226" s="118" t="s">
        <v>1833</v>
      </c>
    </row>
    <row r="227" spans="1:13" x14ac:dyDescent="0.25">
      <c r="A227" s="3" t="s">
        <v>36</v>
      </c>
      <c r="B227" s="68" t="s">
        <v>1837</v>
      </c>
      <c r="C227" s="16" t="s">
        <v>1845</v>
      </c>
      <c r="D227" s="16" t="s">
        <v>1841</v>
      </c>
      <c r="E227" s="16" t="s">
        <v>1838</v>
      </c>
      <c r="F227" s="16" t="s">
        <v>423</v>
      </c>
      <c r="G227" s="16" t="s">
        <v>1842</v>
      </c>
      <c r="H227" s="16" t="s">
        <v>1839</v>
      </c>
      <c r="I227" s="16" t="s">
        <v>1846</v>
      </c>
      <c r="J227" s="16" t="s">
        <v>1843</v>
      </c>
      <c r="K227" s="16" t="s">
        <v>1840</v>
      </c>
      <c r="L227" s="16" t="s">
        <v>1847</v>
      </c>
      <c r="M227" s="76" t="s">
        <v>1844</v>
      </c>
    </row>
    <row r="228" spans="1:13" ht="15.75" thickBot="1" x14ac:dyDescent="0.3">
      <c r="A228" s="4" t="s">
        <v>37</v>
      </c>
      <c r="B228" s="68" t="s">
        <v>1848</v>
      </c>
      <c r="C228" s="16" t="s">
        <v>1856</v>
      </c>
      <c r="D228" s="16" t="s">
        <v>1852</v>
      </c>
      <c r="E228" s="16" t="s">
        <v>1849</v>
      </c>
      <c r="F228" s="16" t="s">
        <v>423</v>
      </c>
      <c r="G228" s="16" t="s">
        <v>1853</v>
      </c>
      <c r="H228" s="16" t="s">
        <v>1850</v>
      </c>
      <c r="I228" s="16" t="s">
        <v>1857</v>
      </c>
      <c r="J228" s="16" t="s">
        <v>1854</v>
      </c>
      <c r="K228" s="16" t="s">
        <v>1851</v>
      </c>
      <c r="L228" s="16" t="s">
        <v>1858</v>
      </c>
      <c r="M228" s="76" t="s">
        <v>1855</v>
      </c>
    </row>
    <row r="229" spans="1:13" x14ac:dyDescent="0.25">
      <c r="A229" s="3" t="s">
        <v>38</v>
      </c>
      <c r="B229" s="68" t="s">
        <v>2176</v>
      </c>
      <c r="C229" s="16" t="s">
        <v>2184</v>
      </c>
      <c r="D229" s="16" t="s">
        <v>2180</v>
      </c>
      <c r="E229" s="16" t="s">
        <v>2177</v>
      </c>
      <c r="F229" s="16" t="s">
        <v>423</v>
      </c>
      <c r="G229" s="16" t="s">
        <v>2181</v>
      </c>
      <c r="H229" s="16" t="s">
        <v>2178</v>
      </c>
      <c r="I229" s="16" t="s">
        <v>2185</v>
      </c>
      <c r="J229" s="16" t="s">
        <v>2182</v>
      </c>
      <c r="K229" s="16" t="s">
        <v>2179</v>
      </c>
      <c r="L229" s="16" t="s">
        <v>2186</v>
      </c>
      <c r="M229" s="76" t="s">
        <v>2183</v>
      </c>
    </row>
    <row r="230" spans="1:13" x14ac:dyDescent="0.25">
      <c r="A230" s="3" t="s">
        <v>39</v>
      </c>
      <c r="B230" s="68" t="s">
        <v>2187</v>
      </c>
      <c r="C230" s="16" t="s">
        <v>2196</v>
      </c>
      <c r="D230" s="16" t="s">
        <v>2191</v>
      </c>
      <c r="E230" s="16" t="s">
        <v>2188</v>
      </c>
      <c r="F230" s="16" t="s">
        <v>423</v>
      </c>
      <c r="G230" s="16" t="s">
        <v>2192</v>
      </c>
      <c r="H230" s="16" t="s">
        <v>2189</v>
      </c>
      <c r="I230" s="16" t="s">
        <v>2195</v>
      </c>
      <c r="J230" s="16" t="s">
        <v>2193</v>
      </c>
      <c r="K230" s="16" t="s">
        <v>2190</v>
      </c>
      <c r="L230" s="16" t="s">
        <v>2195</v>
      </c>
      <c r="M230" s="76" t="s">
        <v>2194</v>
      </c>
    </row>
    <row r="231" spans="1:13" ht="15.75" thickBot="1" x14ac:dyDescent="0.3">
      <c r="A231" s="4" t="s">
        <v>40</v>
      </c>
      <c r="B231" s="3"/>
      <c r="F231" s="16"/>
      <c r="G231" s="65"/>
      <c r="H231" s="16"/>
      <c r="I231" s="16"/>
      <c r="J231" s="65"/>
      <c r="K231" s="16"/>
      <c r="L231" s="16"/>
      <c r="M231" s="76"/>
    </row>
    <row r="232" spans="1:13" ht="15.75" thickBot="1" x14ac:dyDescent="0.3">
      <c r="A232" s="3" t="s">
        <v>11</v>
      </c>
      <c r="B232" s="68" t="s">
        <v>1859</v>
      </c>
      <c r="C232" s="16" t="s">
        <v>1867</v>
      </c>
      <c r="D232" s="16" t="s">
        <v>1863</v>
      </c>
      <c r="E232" s="16" t="s">
        <v>1860</v>
      </c>
      <c r="F232" s="16" t="s">
        <v>423</v>
      </c>
      <c r="G232" s="16" t="s">
        <v>1864</v>
      </c>
      <c r="H232" s="16" t="s">
        <v>1861</v>
      </c>
      <c r="I232" s="16" t="s">
        <v>1868</v>
      </c>
      <c r="J232" s="16" t="s">
        <v>1865</v>
      </c>
      <c r="K232" s="16" t="s">
        <v>1862</v>
      </c>
      <c r="L232" s="16" t="s">
        <v>1869</v>
      </c>
      <c r="M232" s="76" t="s">
        <v>1866</v>
      </c>
    </row>
    <row r="233" spans="1:13" ht="15.75" thickBot="1" x14ac:dyDescent="0.3">
      <c r="A233" s="8" t="s">
        <v>8</v>
      </c>
      <c r="B233" s="68" t="s">
        <v>1870</v>
      </c>
      <c r="C233" s="16" t="s">
        <v>1878</v>
      </c>
      <c r="D233" s="16" t="s">
        <v>1874</v>
      </c>
      <c r="E233" s="16" t="s">
        <v>1871</v>
      </c>
      <c r="F233" s="16" t="s">
        <v>423</v>
      </c>
      <c r="G233" s="16" t="s">
        <v>1875</v>
      </c>
      <c r="H233" s="16" t="s">
        <v>1872</v>
      </c>
      <c r="I233" s="16" t="s">
        <v>1879</v>
      </c>
      <c r="J233" s="16" t="s">
        <v>1876</v>
      </c>
      <c r="K233" s="16" t="s">
        <v>1873</v>
      </c>
      <c r="L233" s="16" t="s">
        <v>1879</v>
      </c>
      <c r="M233" s="76" t="s">
        <v>1877</v>
      </c>
    </row>
    <row r="234" spans="1:13" x14ac:dyDescent="0.25">
      <c r="A234" s="2" t="s">
        <v>4</v>
      </c>
      <c r="B234" s="68" t="s">
        <v>1880</v>
      </c>
      <c r="C234" s="16" t="s">
        <v>1888</v>
      </c>
      <c r="D234" s="16" t="s">
        <v>1884</v>
      </c>
      <c r="E234" s="16" t="s">
        <v>1881</v>
      </c>
      <c r="F234" s="16" t="s">
        <v>423</v>
      </c>
      <c r="G234" s="16" t="s">
        <v>1885</v>
      </c>
      <c r="H234" s="16" t="s">
        <v>1882</v>
      </c>
      <c r="I234" s="16" t="s">
        <v>1889</v>
      </c>
      <c r="J234" s="16" t="s">
        <v>1886</v>
      </c>
      <c r="K234" s="16" t="s">
        <v>1883</v>
      </c>
      <c r="L234" s="16" t="s">
        <v>1890</v>
      </c>
      <c r="M234" s="76" t="s">
        <v>1887</v>
      </c>
    </row>
    <row r="235" spans="1:13" ht="15.75" thickBot="1" x14ac:dyDescent="0.3">
      <c r="A235" s="4" t="s">
        <v>5</v>
      </c>
      <c r="B235" s="3"/>
      <c r="F235" s="65"/>
      <c r="G235" s="16"/>
      <c r="H235" s="16"/>
      <c r="I235" s="65"/>
      <c r="J235" s="16"/>
      <c r="K235" s="16"/>
      <c r="L235" s="16"/>
      <c r="M235" s="76"/>
    </row>
    <row r="236" spans="1:13" x14ac:dyDescent="0.25">
      <c r="A236" s="2" t="s">
        <v>13</v>
      </c>
      <c r="B236" s="68" t="s">
        <v>1891</v>
      </c>
      <c r="C236" s="16" t="s">
        <v>1899</v>
      </c>
      <c r="D236" s="16" t="s">
        <v>1895</v>
      </c>
      <c r="E236" s="16" t="s">
        <v>1892</v>
      </c>
      <c r="F236" s="16" t="s">
        <v>423</v>
      </c>
      <c r="G236" s="16" t="s">
        <v>1896</v>
      </c>
      <c r="H236" s="16" t="s">
        <v>1893</v>
      </c>
      <c r="I236" s="16" t="s">
        <v>1900</v>
      </c>
      <c r="J236" s="16" t="s">
        <v>1897</v>
      </c>
      <c r="K236" s="16" t="s">
        <v>1894</v>
      </c>
      <c r="L236" s="16" t="s">
        <v>1900</v>
      </c>
      <c r="M236" s="76" t="s">
        <v>1898</v>
      </c>
    </row>
    <row r="237" spans="1:13" ht="15.75" thickBot="1" x14ac:dyDescent="0.3">
      <c r="A237" s="4" t="s">
        <v>14</v>
      </c>
      <c r="B237" s="73" t="s">
        <v>2167</v>
      </c>
      <c r="C237" s="70" t="s">
        <v>2174</v>
      </c>
      <c r="D237" s="70" t="s">
        <v>2170</v>
      </c>
      <c r="E237" s="70" t="s">
        <v>2168</v>
      </c>
      <c r="F237" s="70" t="s">
        <v>423</v>
      </c>
      <c r="G237" s="70" t="s">
        <v>2171</v>
      </c>
      <c r="H237" s="70" t="s">
        <v>2169</v>
      </c>
      <c r="I237" s="70" t="s">
        <v>2175</v>
      </c>
      <c r="J237" s="70" t="s">
        <v>2172</v>
      </c>
      <c r="K237" s="70" t="s">
        <v>2169</v>
      </c>
      <c r="L237" s="70" t="s">
        <v>2175</v>
      </c>
      <c r="M237" s="119" t="s">
        <v>2173</v>
      </c>
    </row>
  </sheetData>
  <mergeCells count="88">
    <mergeCell ref="A97:Q97"/>
    <mergeCell ref="A116:A117"/>
    <mergeCell ref="B116:E116"/>
    <mergeCell ref="F116:I116"/>
    <mergeCell ref="J116:M116"/>
    <mergeCell ref="N116:Q116"/>
    <mergeCell ref="A115:Q115"/>
    <mergeCell ref="A98:A99"/>
    <mergeCell ref="B98:E98"/>
    <mergeCell ref="F98:I98"/>
    <mergeCell ref="J98:M98"/>
    <mergeCell ref="N98:Q98"/>
    <mergeCell ref="J44:M44"/>
    <mergeCell ref="A80:A81"/>
    <mergeCell ref="B80:E80"/>
    <mergeCell ref="F80:I80"/>
    <mergeCell ref="J80:M80"/>
    <mergeCell ref="A79:I79"/>
    <mergeCell ref="A61:M61"/>
    <mergeCell ref="A62:A63"/>
    <mergeCell ref="B62:E62"/>
    <mergeCell ref="F62:I62"/>
    <mergeCell ref="J62:M62"/>
    <mergeCell ref="Q5:Z5"/>
    <mergeCell ref="Q6:Q7"/>
    <mergeCell ref="R6:T6"/>
    <mergeCell ref="U6:W6"/>
    <mergeCell ref="X6:Z6"/>
    <mergeCell ref="A26:A27"/>
    <mergeCell ref="B26:E26"/>
    <mergeCell ref="F26:I26"/>
    <mergeCell ref="J26:M26"/>
    <mergeCell ref="N26:Q26"/>
    <mergeCell ref="A188:A189"/>
    <mergeCell ref="A169:M169"/>
    <mergeCell ref="B170:D170"/>
    <mergeCell ref="E170:G170"/>
    <mergeCell ref="H170:J170"/>
    <mergeCell ref="K170:M170"/>
    <mergeCell ref="A187:M187"/>
    <mergeCell ref="B188:D188"/>
    <mergeCell ref="E188:G188"/>
    <mergeCell ref="H188:J188"/>
    <mergeCell ref="K188:M188"/>
    <mergeCell ref="A170:A171"/>
    <mergeCell ref="A5:J5"/>
    <mergeCell ref="B6:D6"/>
    <mergeCell ref="E6:G6"/>
    <mergeCell ref="H6:J6"/>
    <mergeCell ref="A133:S133"/>
    <mergeCell ref="A43:M43"/>
    <mergeCell ref="A44:A45"/>
    <mergeCell ref="B44:E44"/>
    <mergeCell ref="F44:I44"/>
    <mergeCell ref="S25:AI25"/>
    <mergeCell ref="S26:S27"/>
    <mergeCell ref="T26:W26"/>
    <mergeCell ref="X26:AA26"/>
    <mergeCell ref="AB26:AE26"/>
    <mergeCell ref="AF26:AI26"/>
    <mergeCell ref="A25:Q25"/>
    <mergeCell ref="Q134:S134"/>
    <mergeCell ref="A151:S151"/>
    <mergeCell ref="B152:D152"/>
    <mergeCell ref="E152:G152"/>
    <mergeCell ref="H152:J152"/>
    <mergeCell ref="B134:D134"/>
    <mergeCell ref="E134:G134"/>
    <mergeCell ref="H134:J134"/>
    <mergeCell ref="K134:M134"/>
    <mergeCell ref="N134:P134"/>
    <mergeCell ref="Q152:S152"/>
    <mergeCell ref="A152:A153"/>
    <mergeCell ref="A134:A135"/>
    <mergeCell ref="K152:M152"/>
    <mergeCell ref="N152:P152"/>
    <mergeCell ref="A205:M205"/>
    <mergeCell ref="A206:A207"/>
    <mergeCell ref="B206:D206"/>
    <mergeCell ref="E206:G206"/>
    <mergeCell ref="H206:J206"/>
    <mergeCell ref="K206:M206"/>
    <mergeCell ref="A223:M223"/>
    <mergeCell ref="A224:A225"/>
    <mergeCell ref="B224:D224"/>
    <mergeCell ref="E224:G224"/>
    <mergeCell ref="H224:J224"/>
    <mergeCell ref="K224:M224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39CD-9289-4CEF-9FC3-E23EBE8846FE}">
  <dimension ref="A1:C28"/>
  <sheetViews>
    <sheetView workbookViewId="0">
      <selection activeCell="C13" sqref="C13"/>
    </sheetView>
  </sheetViews>
  <sheetFormatPr defaultRowHeight="15" x14ac:dyDescent="0.25"/>
  <sheetData>
    <row r="1" spans="1:3" ht="15.75" thickBot="1" x14ac:dyDescent="0.3">
      <c r="A1" s="8" t="s">
        <v>0</v>
      </c>
      <c r="B1" s="12" t="s">
        <v>1</v>
      </c>
      <c r="C1" s="13" t="s">
        <v>2</v>
      </c>
    </row>
    <row r="2" spans="1:3" ht="15.75" hidden="1" customHeight="1" x14ac:dyDescent="0.25">
      <c r="A2" s="2" t="s">
        <v>3</v>
      </c>
      <c r="B2" s="9">
        <v>7</v>
      </c>
      <c r="C2" s="5">
        <v>49</v>
      </c>
    </row>
    <row r="3" spans="1:3" x14ac:dyDescent="0.25">
      <c r="A3" s="2" t="s">
        <v>4</v>
      </c>
      <c r="B3" s="9">
        <v>15</v>
      </c>
      <c r="C3" s="5">
        <v>225</v>
      </c>
    </row>
    <row r="4" spans="1:3" ht="15.75" thickBot="1" x14ac:dyDescent="0.3">
      <c r="A4" s="4" t="s">
        <v>5</v>
      </c>
      <c r="B4" s="11">
        <v>31</v>
      </c>
      <c r="C4" s="7">
        <v>961</v>
      </c>
    </row>
    <row r="5" spans="1:3" ht="15.75" hidden="1" customHeight="1" thickBot="1" x14ac:dyDescent="0.3">
      <c r="A5" s="4" t="s">
        <v>6</v>
      </c>
      <c r="B5" s="11">
        <v>63</v>
      </c>
      <c r="C5" s="7">
        <v>3969</v>
      </c>
    </row>
    <row r="6" spans="1:3" ht="15.75" hidden="1" customHeight="1" x14ac:dyDescent="0.25">
      <c r="A6" s="2" t="s">
        <v>7</v>
      </c>
      <c r="B6" s="9">
        <v>2</v>
      </c>
      <c r="C6" s="5">
        <v>7</v>
      </c>
    </row>
    <row r="7" spans="1:3" ht="15.75" thickBot="1" x14ac:dyDescent="0.3">
      <c r="A7" s="4" t="s">
        <v>8</v>
      </c>
      <c r="B7" s="11">
        <v>1</v>
      </c>
      <c r="C7" s="7">
        <v>44</v>
      </c>
    </row>
    <row r="8" spans="1:3" ht="15.75" hidden="1" customHeight="1" x14ac:dyDescent="0.25">
      <c r="A8" s="3" t="s">
        <v>9</v>
      </c>
      <c r="B8" s="10">
        <v>4</v>
      </c>
      <c r="C8" s="6">
        <v>17</v>
      </c>
    </row>
    <row r="9" spans="1:3" ht="15.75" hidden="1" customHeight="1" x14ac:dyDescent="0.25">
      <c r="A9" s="3" t="s">
        <v>10</v>
      </c>
      <c r="B9" s="10">
        <v>4</v>
      </c>
      <c r="C9" s="6">
        <v>17</v>
      </c>
    </row>
    <row r="10" spans="1:3" ht="15.75" thickBot="1" x14ac:dyDescent="0.3">
      <c r="A10" s="3" t="s">
        <v>11</v>
      </c>
      <c r="B10" s="10">
        <v>6</v>
      </c>
      <c r="C10" s="6">
        <v>124</v>
      </c>
    </row>
    <row r="11" spans="1:3" ht="15.75" hidden="1" customHeight="1" x14ac:dyDescent="0.25">
      <c r="A11" s="2" t="s">
        <v>12</v>
      </c>
      <c r="B11" s="9">
        <v>1</v>
      </c>
      <c r="C11" s="5">
        <v>24</v>
      </c>
    </row>
    <row r="12" spans="1:3" x14ac:dyDescent="0.25">
      <c r="A12" s="2" t="s">
        <v>13</v>
      </c>
      <c r="B12" s="9">
        <v>1</v>
      </c>
      <c r="C12" s="5">
        <v>99</v>
      </c>
    </row>
    <row r="13" spans="1:3" ht="15.75" thickBot="1" x14ac:dyDescent="0.3">
      <c r="A13" s="4" t="s">
        <v>14</v>
      </c>
      <c r="B13" s="11">
        <v>1</v>
      </c>
      <c r="C13" s="7">
        <v>224</v>
      </c>
    </row>
    <row r="14" spans="1:3" ht="15.75" hidden="1" customHeight="1" x14ac:dyDescent="0.25">
      <c r="A14" s="3" t="s">
        <v>15</v>
      </c>
      <c r="B14" s="10">
        <v>1</v>
      </c>
      <c r="C14" s="6">
        <v>1817</v>
      </c>
    </row>
    <row r="15" spans="1:3" ht="15.75" hidden="1" customHeight="1" thickBot="1" x14ac:dyDescent="0.3">
      <c r="A15" s="4" t="s">
        <v>16</v>
      </c>
      <c r="B15" s="11">
        <v>1</v>
      </c>
      <c r="C15" s="7">
        <v>2892</v>
      </c>
    </row>
    <row r="16" spans="1:3" ht="15.75" hidden="1" customHeight="1" x14ac:dyDescent="0.25">
      <c r="A16" s="3" t="s">
        <v>17</v>
      </c>
      <c r="B16" s="10">
        <v>15</v>
      </c>
      <c r="C16" s="6">
        <v>0</v>
      </c>
    </row>
    <row r="17" spans="1:3" ht="15.75" hidden="1" customHeight="1" x14ac:dyDescent="0.25">
      <c r="A17" s="3" t="s">
        <v>18</v>
      </c>
      <c r="B17" s="10">
        <v>28</v>
      </c>
      <c r="C17" s="6">
        <v>0</v>
      </c>
    </row>
    <row r="18" spans="1:3" ht="15.75" hidden="1" customHeight="1" x14ac:dyDescent="0.25">
      <c r="A18" s="3" t="s">
        <v>19</v>
      </c>
      <c r="B18" s="10">
        <v>34</v>
      </c>
      <c r="C18" s="6">
        <v>11</v>
      </c>
    </row>
    <row r="19" spans="1:3" x14ac:dyDescent="0.25">
      <c r="A19" s="2" t="s">
        <v>20</v>
      </c>
      <c r="B19" s="9">
        <v>54</v>
      </c>
      <c r="C19" s="5">
        <v>12</v>
      </c>
    </row>
    <row r="20" spans="1:3" x14ac:dyDescent="0.25">
      <c r="A20" s="3" t="s">
        <v>21</v>
      </c>
      <c r="B20" s="10">
        <v>76</v>
      </c>
      <c r="C20" s="6">
        <v>15</v>
      </c>
    </row>
    <row r="21" spans="1:3" ht="15.75" thickBot="1" x14ac:dyDescent="0.3">
      <c r="A21" s="4" t="s">
        <v>22</v>
      </c>
      <c r="B21" s="11">
        <v>102</v>
      </c>
      <c r="C21" s="7">
        <v>18</v>
      </c>
    </row>
    <row r="22" spans="1:3" ht="15.75" hidden="1" customHeight="1" x14ac:dyDescent="0.25">
      <c r="A22" s="2" t="s">
        <v>23</v>
      </c>
      <c r="B22" s="9">
        <v>4</v>
      </c>
      <c r="C22" s="5">
        <v>12</v>
      </c>
    </row>
    <row r="23" spans="1:3" ht="15.75" hidden="1" customHeight="1" x14ac:dyDescent="0.25">
      <c r="A23" s="3" t="s">
        <v>24</v>
      </c>
      <c r="B23" s="10">
        <v>4</v>
      </c>
      <c r="C23" s="6">
        <v>12</v>
      </c>
    </row>
    <row r="24" spans="1:3" hidden="1" x14ac:dyDescent="0.25">
      <c r="A24" s="3" t="s">
        <v>25</v>
      </c>
      <c r="B24" s="10">
        <v>4</v>
      </c>
      <c r="C24" s="6">
        <v>12</v>
      </c>
    </row>
    <row r="25" spans="1:3" hidden="1" x14ac:dyDescent="0.25">
      <c r="A25" s="3" t="s">
        <v>26</v>
      </c>
      <c r="B25" s="10">
        <v>4</v>
      </c>
      <c r="C25" s="6">
        <v>12</v>
      </c>
    </row>
    <row r="26" spans="1:3" x14ac:dyDescent="0.25">
      <c r="A26" s="3" t="s">
        <v>27</v>
      </c>
      <c r="B26" s="10">
        <v>4</v>
      </c>
      <c r="C26" s="6">
        <v>12</v>
      </c>
    </row>
    <row r="27" spans="1:3" x14ac:dyDescent="0.25">
      <c r="A27" s="3" t="s">
        <v>28</v>
      </c>
      <c r="B27" s="10">
        <v>4</v>
      </c>
      <c r="C27" s="6">
        <v>12</v>
      </c>
    </row>
    <row r="28" spans="1:3" ht="15.75" thickBot="1" x14ac:dyDescent="0.3">
      <c r="A28" s="4" t="s">
        <v>29</v>
      </c>
      <c r="B28" s="11">
        <v>4</v>
      </c>
      <c r="C28" s="7">
        <v>12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F5F4-2316-4A4D-BC22-75E46CD9857E}">
  <dimension ref="D5:R19"/>
  <sheetViews>
    <sheetView workbookViewId="0">
      <selection activeCell="D7" sqref="D7:G7"/>
    </sheetView>
  </sheetViews>
  <sheetFormatPr defaultRowHeight="15" x14ac:dyDescent="0.25"/>
  <cols>
    <col min="4" max="4" width="14.5703125" bestFit="1" customWidth="1"/>
    <col min="5" max="5" width="10.140625" bestFit="1" customWidth="1"/>
    <col min="6" max="6" width="11.140625" bestFit="1" customWidth="1"/>
    <col min="7" max="7" width="11" customWidth="1"/>
    <col min="9" max="9" width="14.5703125" bestFit="1" customWidth="1"/>
    <col min="10" max="10" width="10.140625" bestFit="1" customWidth="1"/>
    <col min="15" max="15" width="14.5703125" bestFit="1" customWidth="1"/>
    <col min="16" max="16" width="10.140625" bestFit="1" customWidth="1"/>
    <col min="17" max="17" width="10" bestFit="1" customWidth="1"/>
    <col min="18" max="18" width="15" bestFit="1" customWidth="1"/>
  </cols>
  <sheetData>
    <row r="5" spans="4:18" ht="15.75" thickBot="1" x14ac:dyDescent="0.3"/>
    <row r="6" spans="4:18" ht="15.75" thickBot="1" x14ac:dyDescent="0.3">
      <c r="D6" s="231" t="s">
        <v>30</v>
      </c>
      <c r="E6" s="232"/>
      <c r="F6" s="232"/>
      <c r="G6" s="233"/>
      <c r="I6" s="231" t="s">
        <v>42</v>
      </c>
      <c r="J6" s="232"/>
      <c r="K6" s="232"/>
      <c r="L6" s="232"/>
      <c r="M6" s="233"/>
      <c r="O6" s="231" t="s">
        <v>43</v>
      </c>
      <c r="P6" s="232"/>
      <c r="Q6" s="232"/>
      <c r="R6" s="233"/>
    </row>
    <row r="7" spans="4:18" ht="15.75" thickBot="1" x14ac:dyDescent="0.3">
      <c r="D7" s="2" t="s">
        <v>31</v>
      </c>
      <c r="E7" s="2" t="s">
        <v>33</v>
      </c>
      <c r="F7" s="14" t="s">
        <v>34</v>
      </c>
      <c r="G7" s="5" t="s">
        <v>32</v>
      </c>
      <c r="I7" s="2" t="s">
        <v>31</v>
      </c>
      <c r="J7" s="8" t="s">
        <v>33</v>
      </c>
      <c r="K7" s="1" t="s">
        <v>34</v>
      </c>
      <c r="L7" s="1" t="s">
        <v>32</v>
      </c>
      <c r="M7" s="13" t="s">
        <v>41</v>
      </c>
      <c r="O7" s="2" t="s">
        <v>31</v>
      </c>
      <c r="P7" s="2" t="s">
        <v>33</v>
      </c>
      <c r="Q7" s="14" t="s">
        <v>44</v>
      </c>
      <c r="R7" s="5" t="s">
        <v>45</v>
      </c>
    </row>
    <row r="8" spans="4:18" x14ac:dyDescent="0.25">
      <c r="D8" s="9" t="s">
        <v>35</v>
      </c>
      <c r="E8" s="2"/>
      <c r="F8" s="14"/>
      <c r="G8" s="5"/>
      <c r="I8" s="2" t="s">
        <v>35</v>
      </c>
      <c r="J8" s="2"/>
      <c r="K8" s="14"/>
      <c r="L8" s="14"/>
      <c r="M8" s="5"/>
      <c r="O8" s="2" t="s">
        <v>35</v>
      </c>
      <c r="P8" s="2"/>
      <c r="Q8" s="14"/>
      <c r="R8" s="5"/>
    </row>
    <row r="9" spans="4:18" x14ac:dyDescent="0.25">
      <c r="D9" s="10" t="s">
        <v>36</v>
      </c>
      <c r="E9" s="3"/>
      <c r="G9" s="6"/>
      <c r="I9" s="3" t="s">
        <v>36</v>
      </c>
      <c r="J9" s="3"/>
      <c r="M9" s="6"/>
      <c r="O9" s="3" t="s">
        <v>36</v>
      </c>
      <c r="P9" s="3"/>
      <c r="R9" s="6"/>
    </row>
    <row r="10" spans="4:18" ht="15.75" thickBot="1" x14ac:dyDescent="0.3">
      <c r="D10" s="11" t="s">
        <v>37</v>
      </c>
      <c r="E10" s="4"/>
      <c r="F10" s="15"/>
      <c r="G10" s="7"/>
      <c r="I10" s="4" t="s">
        <v>37</v>
      </c>
      <c r="J10" s="3"/>
      <c r="M10" s="6"/>
      <c r="O10" s="4" t="s">
        <v>37</v>
      </c>
      <c r="P10" s="4"/>
      <c r="Q10" s="15"/>
      <c r="R10" s="7"/>
    </row>
    <row r="11" spans="4:18" x14ac:dyDescent="0.25">
      <c r="D11" s="10" t="s">
        <v>38</v>
      </c>
      <c r="E11" s="3"/>
      <c r="G11" s="6"/>
      <c r="I11" s="3" t="s">
        <v>38</v>
      </c>
      <c r="J11" s="2"/>
      <c r="K11" s="14"/>
      <c r="L11" s="14"/>
      <c r="M11" s="5"/>
      <c r="O11" s="2" t="s">
        <v>38</v>
      </c>
      <c r="P11" s="2"/>
      <c r="Q11" s="14"/>
      <c r="R11" s="5"/>
    </row>
    <row r="12" spans="4:18" x14ac:dyDescent="0.25">
      <c r="D12" s="10" t="s">
        <v>39</v>
      </c>
      <c r="E12" s="3"/>
      <c r="G12" s="6"/>
      <c r="I12" s="3" t="s">
        <v>39</v>
      </c>
      <c r="J12" s="3"/>
      <c r="M12" s="6"/>
      <c r="O12" s="3" t="s">
        <v>39</v>
      </c>
      <c r="P12" s="3"/>
      <c r="R12" s="6"/>
    </row>
    <row r="13" spans="4:18" ht="15.75" thickBot="1" x14ac:dyDescent="0.3">
      <c r="D13" s="11" t="s">
        <v>40</v>
      </c>
      <c r="E13" s="3"/>
      <c r="G13" s="6"/>
      <c r="I13" s="4" t="s">
        <v>40</v>
      </c>
      <c r="J13" s="4"/>
      <c r="K13" s="15"/>
      <c r="L13" s="15"/>
      <c r="M13" s="7"/>
      <c r="O13" s="4" t="s">
        <v>40</v>
      </c>
      <c r="P13" s="4"/>
      <c r="Q13" s="15"/>
      <c r="R13" s="7"/>
    </row>
    <row r="14" spans="4:18" ht="15.75" thickBot="1" x14ac:dyDescent="0.3">
      <c r="D14" s="10" t="s">
        <v>11</v>
      </c>
      <c r="E14" s="8"/>
      <c r="F14" s="1"/>
      <c r="G14" s="13"/>
      <c r="I14" s="3" t="s">
        <v>11</v>
      </c>
      <c r="J14" s="3"/>
      <c r="M14" s="6"/>
      <c r="O14" s="3" t="s">
        <v>11</v>
      </c>
      <c r="P14" s="3"/>
      <c r="R14" s="6"/>
    </row>
    <row r="15" spans="4:18" ht="15.75" thickBot="1" x14ac:dyDescent="0.3">
      <c r="D15" s="12" t="s">
        <v>8</v>
      </c>
      <c r="E15" s="3"/>
      <c r="G15" s="6"/>
      <c r="I15" s="8" t="s">
        <v>8</v>
      </c>
      <c r="J15" s="8"/>
      <c r="K15" s="1"/>
      <c r="L15" s="1"/>
      <c r="M15" s="13"/>
      <c r="O15" s="2" t="s">
        <v>8</v>
      </c>
      <c r="P15" s="8"/>
      <c r="Q15" s="1"/>
      <c r="R15" s="13"/>
    </row>
    <row r="16" spans="4:18" x14ac:dyDescent="0.25">
      <c r="D16" s="9" t="s">
        <v>4</v>
      </c>
      <c r="E16" s="2"/>
      <c r="F16" s="14"/>
      <c r="G16" s="5"/>
      <c r="I16" s="2" t="s">
        <v>4</v>
      </c>
      <c r="J16" s="3"/>
      <c r="M16" s="6"/>
      <c r="O16" s="2" t="s">
        <v>4</v>
      </c>
      <c r="P16" s="3"/>
      <c r="R16" s="6"/>
    </row>
    <row r="17" spans="4:18" ht="15.75" thickBot="1" x14ac:dyDescent="0.3">
      <c r="D17" s="11" t="s">
        <v>5</v>
      </c>
      <c r="E17" s="4"/>
      <c r="F17" s="15"/>
      <c r="G17" s="7"/>
      <c r="I17" s="4" t="s">
        <v>5</v>
      </c>
      <c r="J17" s="3"/>
      <c r="M17" s="6"/>
      <c r="O17" s="4" t="s">
        <v>5</v>
      </c>
      <c r="P17" s="3"/>
      <c r="R17" s="6"/>
    </row>
    <row r="18" spans="4:18" x14ac:dyDescent="0.25">
      <c r="D18" s="9" t="s">
        <v>13</v>
      </c>
      <c r="E18" s="3"/>
      <c r="G18" s="6"/>
      <c r="I18" s="2" t="s">
        <v>13</v>
      </c>
      <c r="J18" s="2"/>
      <c r="K18" s="14"/>
      <c r="L18" s="14"/>
      <c r="M18" s="5"/>
      <c r="O18" s="3" t="s">
        <v>13</v>
      </c>
      <c r="P18" s="2"/>
      <c r="Q18" s="14"/>
      <c r="R18" s="5"/>
    </row>
    <row r="19" spans="4:18" ht="15.75" thickBot="1" x14ac:dyDescent="0.3">
      <c r="D19" s="11" t="s">
        <v>14</v>
      </c>
      <c r="E19" s="4"/>
      <c r="F19" s="15"/>
      <c r="G19" s="7"/>
      <c r="I19" s="4" t="s">
        <v>14</v>
      </c>
      <c r="J19" s="4"/>
      <c r="K19" s="15"/>
      <c r="L19" s="15"/>
      <c r="M19" s="7"/>
      <c r="O19" s="4" t="s">
        <v>14</v>
      </c>
      <c r="P19" s="4"/>
      <c r="Q19" s="15"/>
      <c r="R19" s="7"/>
    </row>
  </sheetData>
  <mergeCells count="3">
    <mergeCell ref="D6:G6"/>
    <mergeCell ref="I6:M6"/>
    <mergeCell ref="O6: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CA56-6354-4704-82C0-9A6B788767FD}">
  <dimension ref="D4:Y92"/>
  <sheetViews>
    <sheetView topLeftCell="B73" zoomScale="130" zoomScaleNormal="130" workbookViewId="0">
      <selection activeCell="E60" sqref="E60:J60"/>
    </sheetView>
  </sheetViews>
  <sheetFormatPr defaultRowHeight="15" x14ac:dyDescent="0.25"/>
  <cols>
    <col min="4" max="4" width="14.5703125" bestFit="1" customWidth="1"/>
    <col min="5" max="5" width="14.140625" bestFit="1" customWidth="1"/>
    <col min="6" max="6" width="11.140625" bestFit="1" customWidth="1"/>
    <col min="7" max="7" width="10.140625" bestFit="1" customWidth="1"/>
    <col min="9" max="9" width="14.5703125" bestFit="1" customWidth="1"/>
    <col min="10" max="10" width="10.140625" bestFit="1" customWidth="1"/>
    <col min="11" max="11" width="14.140625" bestFit="1" customWidth="1"/>
    <col min="13" max="13" width="10.140625" bestFit="1" customWidth="1"/>
    <col min="15" max="15" width="14.5703125" bestFit="1" customWidth="1"/>
    <col min="16" max="16" width="10.140625" bestFit="1" customWidth="1"/>
    <col min="17" max="17" width="10" bestFit="1" customWidth="1"/>
    <col min="18" max="18" width="15" bestFit="1" customWidth="1"/>
  </cols>
  <sheetData>
    <row r="4" spans="4:25" ht="15.75" thickBot="1" x14ac:dyDescent="0.3"/>
    <row r="5" spans="4:25" ht="15.75" thickBot="1" x14ac:dyDescent="0.3">
      <c r="D5" s="217" t="s">
        <v>30</v>
      </c>
      <c r="E5" s="218"/>
      <c r="F5" s="218"/>
      <c r="G5" s="218"/>
      <c r="H5" s="218"/>
      <c r="I5" s="218"/>
      <c r="J5" s="218"/>
      <c r="K5" s="218"/>
      <c r="L5" s="218"/>
      <c r="M5" s="219"/>
      <c r="S5" s="217" t="s">
        <v>30</v>
      </c>
      <c r="T5" s="218"/>
      <c r="U5" s="218"/>
      <c r="V5" s="218"/>
      <c r="W5" s="218"/>
      <c r="X5" s="218"/>
      <c r="Y5" s="218"/>
    </row>
    <row r="6" spans="4:25" x14ac:dyDescent="0.25">
      <c r="D6" s="222" t="s">
        <v>31</v>
      </c>
      <c r="E6" s="220" t="s">
        <v>46</v>
      </c>
      <c r="F6" s="221"/>
      <c r="G6" s="221"/>
      <c r="H6" s="214" t="s">
        <v>34</v>
      </c>
      <c r="I6" s="216"/>
      <c r="J6" s="215"/>
      <c r="K6" s="216" t="s">
        <v>32</v>
      </c>
      <c r="L6" s="216"/>
      <c r="M6" s="215"/>
      <c r="S6" s="222" t="s">
        <v>31</v>
      </c>
      <c r="T6" s="220" t="s">
        <v>46</v>
      </c>
      <c r="U6" s="221"/>
      <c r="V6" s="214" t="s">
        <v>34</v>
      </c>
      <c r="W6" s="216"/>
      <c r="X6" s="214" t="s">
        <v>32</v>
      </c>
      <c r="Y6" s="215"/>
    </row>
    <row r="7" spans="4:25" ht="15.75" thickBot="1" x14ac:dyDescent="0.3">
      <c r="D7" s="223"/>
      <c r="E7" s="4" t="s">
        <v>47</v>
      </c>
      <c r="F7" s="15" t="s">
        <v>48</v>
      </c>
      <c r="G7" s="15" t="s">
        <v>49</v>
      </c>
      <c r="H7" s="4" t="s">
        <v>47</v>
      </c>
      <c r="I7" s="15" t="s">
        <v>48</v>
      </c>
      <c r="J7" s="7" t="s">
        <v>49</v>
      </c>
      <c r="K7" s="15" t="s">
        <v>47</v>
      </c>
      <c r="L7" s="15" t="s">
        <v>48</v>
      </c>
      <c r="M7" s="7" t="s">
        <v>49</v>
      </c>
      <c r="S7" s="223"/>
      <c r="T7" s="4" t="s">
        <v>47</v>
      </c>
      <c r="U7" s="15" t="s">
        <v>48</v>
      </c>
      <c r="V7" s="4" t="s">
        <v>47</v>
      </c>
      <c r="W7" s="15" t="s">
        <v>48</v>
      </c>
      <c r="X7" s="4" t="s">
        <v>47</v>
      </c>
      <c r="Y7" s="7" t="s">
        <v>48</v>
      </c>
    </row>
    <row r="8" spans="4:25" x14ac:dyDescent="0.25">
      <c r="D8" s="2" t="s">
        <v>35</v>
      </c>
      <c r="E8" s="34" t="s">
        <v>50</v>
      </c>
      <c r="F8" t="s">
        <v>53</v>
      </c>
      <c r="G8" s="6">
        <v>100</v>
      </c>
      <c r="H8" s="16" t="s">
        <v>51</v>
      </c>
      <c r="I8" t="s">
        <v>54</v>
      </c>
      <c r="J8" s="6">
        <v>100</v>
      </c>
      <c r="K8" s="20" t="s">
        <v>52</v>
      </c>
      <c r="L8" s="19" t="s">
        <v>55</v>
      </c>
      <c r="M8" s="6">
        <v>100</v>
      </c>
      <c r="S8" s="2" t="s">
        <v>35</v>
      </c>
      <c r="T8" s="17" t="s">
        <v>50</v>
      </c>
      <c r="U8" t="s">
        <v>53</v>
      </c>
      <c r="V8" s="16" t="s">
        <v>51</v>
      </c>
      <c r="W8" t="s">
        <v>54</v>
      </c>
      <c r="X8" s="24" t="s">
        <v>52</v>
      </c>
      <c r="Y8" s="25" t="s">
        <v>55</v>
      </c>
    </row>
    <row r="9" spans="4:25" x14ac:dyDescent="0.25">
      <c r="D9" s="3" t="s">
        <v>36</v>
      </c>
      <c r="E9" s="3" t="s">
        <v>56</v>
      </c>
      <c r="F9" t="s">
        <v>59</v>
      </c>
      <c r="G9" s="6">
        <v>100</v>
      </c>
      <c r="H9" s="3" t="s">
        <v>57</v>
      </c>
      <c r="I9" t="s">
        <v>60</v>
      </c>
      <c r="J9" s="6">
        <v>100</v>
      </c>
      <c r="K9" s="19" t="s">
        <v>58</v>
      </c>
      <c r="L9" s="19" t="s">
        <v>61</v>
      </c>
      <c r="M9" s="6">
        <v>100</v>
      </c>
      <c r="S9" s="3" t="s">
        <v>36</v>
      </c>
      <c r="T9" s="3" t="s">
        <v>56</v>
      </c>
      <c r="U9" t="s">
        <v>59</v>
      </c>
      <c r="V9" s="3" t="s">
        <v>57</v>
      </c>
      <c r="W9" t="s">
        <v>60</v>
      </c>
      <c r="X9" s="18" t="s">
        <v>58</v>
      </c>
      <c r="Y9" s="25" t="s">
        <v>61</v>
      </c>
    </row>
    <row r="10" spans="4:25" ht="15.75" thickBot="1" x14ac:dyDescent="0.3">
      <c r="D10" s="4" t="s">
        <v>37</v>
      </c>
      <c r="E10" s="4" t="s">
        <v>79</v>
      </c>
      <c r="F10" s="15" t="s">
        <v>76</v>
      </c>
      <c r="G10" s="6">
        <v>100</v>
      </c>
      <c r="H10" s="3" t="s">
        <v>78</v>
      </c>
      <c r="I10" t="s">
        <v>75</v>
      </c>
      <c r="J10" s="6">
        <v>100</v>
      </c>
      <c r="K10" s="19" t="s">
        <v>77</v>
      </c>
      <c r="L10" s="19" t="s">
        <v>74</v>
      </c>
      <c r="M10" s="6">
        <v>100</v>
      </c>
      <c r="S10" s="4" t="s">
        <v>37</v>
      </c>
      <c r="T10" s="4" t="s">
        <v>79</v>
      </c>
      <c r="U10" s="15" t="s">
        <v>76</v>
      </c>
      <c r="V10" s="3" t="s">
        <v>78</v>
      </c>
      <c r="W10" t="s">
        <v>75</v>
      </c>
      <c r="X10" s="18" t="s">
        <v>77</v>
      </c>
      <c r="Y10" s="25" t="s">
        <v>74</v>
      </c>
    </row>
    <row r="11" spans="4:25" x14ac:dyDescent="0.25">
      <c r="D11" s="3" t="s">
        <v>38</v>
      </c>
      <c r="E11" s="3" t="s">
        <v>91</v>
      </c>
      <c r="F11" t="s">
        <v>88</v>
      </c>
      <c r="G11" s="5">
        <v>100</v>
      </c>
      <c r="H11" s="2" t="s">
        <v>90</v>
      </c>
      <c r="I11" s="14" t="s">
        <v>87</v>
      </c>
      <c r="J11" s="5">
        <v>100</v>
      </c>
      <c r="K11" s="21" t="s">
        <v>89</v>
      </c>
      <c r="L11" s="21" t="s">
        <v>86</v>
      </c>
      <c r="M11" s="5">
        <v>100</v>
      </c>
      <c r="S11" s="3" t="s">
        <v>38</v>
      </c>
      <c r="T11" s="3" t="s">
        <v>91</v>
      </c>
      <c r="U11" t="s">
        <v>88</v>
      </c>
      <c r="V11" s="2" t="s">
        <v>90</v>
      </c>
      <c r="W11" s="14" t="s">
        <v>87</v>
      </c>
      <c r="X11" s="26" t="s">
        <v>89</v>
      </c>
      <c r="Y11" s="27" t="s">
        <v>86</v>
      </c>
    </row>
    <row r="12" spans="4:25" x14ac:dyDescent="0.25">
      <c r="D12" s="3" t="s">
        <v>39</v>
      </c>
      <c r="E12" s="18" t="s">
        <v>97</v>
      </c>
      <c r="F12" s="19" t="s">
        <v>94</v>
      </c>
      <c r="G12" s="6">
        <v>100</v>
      </c>
      <c r="H12" s="3" t="s">
        <v>96</v>
      </c>
      <c r="I12" t="s">
        <v>93</v>
      </c>
      <c r="J12" s="6">
        <v>100</v>
      </c>
      <c r="K12" t="s">
        <v>95</v>
      </c>
      <c r="L12" t="s">
        <v>92</v>
      </c>
      <c r="M12" s="6">
        <v>100</v>
      </c>
      <c r="S12" s="3" t="s">
        <v>39</v>
      </c>
      <c r="T12" s="18" t="s">
        <v>97</v>
      </c>
      <c r="U12" s="19" t="s">
        <v>94</v>
      </c>
      <c r="V12" s="3" t="s">
        <v>96</v>
      </c>
      <c r="W12" t="s">
        <v>93</v>
      </c>
      <c r="X12" s="3" t="s">
        <v>95</v>
      </c>
      <c r="Y12" s="6" t="s">
        <v>92</v>
      </c>
    </row>
    <row r="13" spans="4:25" ht="15.75" thickBot="1" x14ac:dyDescent="0.3">
      <c r="D13" s="4" t="s">
        <v>40</v>
      </c>
      <c r="E13" s="18" t="s">
        <v>109</v>
      </c>
      <c r="F13" s="19" t="s">
        <v>106</v>
      </c>
      <c r="G13" s="7">
        <v>100</v>
      </c>
      <c r="H13" s="4" t="s">
        <v>108</v>
      </c>
      <c r="I13" s="15" t="s">
        <v>105</v>
      </c>
      <c r="J13" s="7">
        <v>100</v>
      </c>
      <c r="K13" s="15" t="s">
        <v>107</v>
      </c>
      <c r="L13" s="15" t="s">
        <v>104</v>
      </c>
      <c r="M13" s="7">
        <v>100</v>
      </c>
      <c r="S13" s="4" t="s">
        <v>40</v>
      </c>
      <c r="T13" s="18" t="s">
        <v>109</v>
      </c>
      <c r="U13" s="19" t="s">
        <v>106</v>
      </c>
      <c r="V13" s="4" t="s">
        <v>108</v>
      </c>
      <c r="W13" s="15" t="s">
        <v>105</v>
      </c>
      <c r="X13" s="4" t="s">
        <v>107</v>
      </c>
      <c r="Y13" s="7" t="s">
        <v>104</v>
      </c>
    </row>
    <row r="14" spans="4:25" ht="15.75" thickBot="1" x14ac:dyDescent="0.3">
      <c r="D14" s="3" t="s">
        <v>11</v>
      </c>
      <c r="E14" s="8" t="s">
        <v>85</v>
      </c>
      <c r="F14" s="1" t="s">
        <v>82</v>
      </c>
      <c r="G14" s="6">
        <v>100</v>
      </c>
      <c r="H14" s="3" t="s">
        <v>84</v>
      </c>
      <c r="I14" t="s">
        <v>81</v>
      </c>
      <c r="J14" s="6">
        <v>100</v>
      </c>
      <c r="K14" s="19" t="s">
        <v>83</v>
      </c>
      <c r="L14" s="19" t="s">
        <v>80</v>
      </c>
      <c r="M14" s="6">
        <v>100</v>
      </c>
      <c r="S14" s="3" t="s">
        <v>11</v>
      </c>
      <c r="T14" s="8" t="s">
        <v>85</v>
      </c>
      <c r="U14" s="1" t="s">
        <v>82</v>
      </c>
      <c r="V14" s="3" t="s">
        <v>84</v>
      </c>
      <c r="W14" t="s">
        <v>81</v>
      </c>
      <c r="X14" s="18" t="s">
        <v>83</v>
      </c>
      <c r="Y14" s="25" t="s">
        <v>80</v>
      </c>
    </row>
    <row r="15" spans="4:25" ht="15.75" thickBot="1" x14ac:dyDescent="0.3">
      <c r="D15" s="8" t="s">
        <v>8</v>
      </c>
      <c r="E15" s="3" t="s">
        <v>120</v>
      </c>
      <c r="F15" t="s">
        <v>117</v>
      </c>
      <c r="G15" s="13">
        <v>100</v>
      </c>
      <c r="H15" s="8" t="s">
        <v>119</v>
      </c>
      <c r="I15" s="1" t="s">
        <v>117</v>
      </c>
      <c r="J15" s="13">
        <v>100</v>
      </c>
      <c r="K15" s="22" t="s">
        <v>118</v>
      </c>
      <c r="L15" s="22" t="s">
        <v>116</v>
      </c>
      <c r="M15" s="13">
        <v>100</v>
      </c>
      <c r="S15" s="8" t="s">
        <v>8</v>
      </c>
      <c r="T15" s="3" t="s">
        <v>120</v>
      </c>
      <c r="U15" t="s">
        <v>117</v>
      </c>
      <c r="V15" s="8" t="s">
        <v>119</v>
      </c>
      <c r="W15" s="1" t="s">
        <v>117</v>
      </c>
      <c r="X15" s="28" t="s">
        <v>118</v>
      </c>
      <c r="Y15" s="29" t="s">
        <v>116</v>
      </c>
    </row>
    <row r="16" spans="4:25" x14ac:dyDescent="0.25">
      <c r="D16" s="2" t="s">
        <v>4</v>
      </c>
      <c r="E16" s="2" t="s">
        <v>62</v>
      </c>
      <c r="F16" s="14" t="s">
        <v>65</v>
      </c>
      <c r="G16" s="6">
        <v>100</v>
      </c>
      <c r="H16" s="3" t="s">
        <v>63</v>
      </c>
      <c r="I16" t="s">
        <v>66</v>
      </c>
      <c r="J16" s="6">
        <v>100</v>
      </c>
      <c r="K16" s="19" t="s">
        <v>64</v>
      </c>
      <c r="L16" s="19" t="s">
        <v>67</v>
      </c>
      <c r="M16" s="6">
        <v>100</v>
      </c>
      <c r="S16" s="2" t="s">
        <v>4</v>
      </c>
      <c r="T16" s="2" t="s">
        <v>62</v>
      </c>
      <c r="U16" s="14" t="s">
        <v>65</v>
      </c>
      <c r="V16" s="3" t="s">
        <v>63</v>
      </c>
      <c r="W16" t="s">
        <v>66</v>
      </c>
      <c r="X16" s="18" t="s">
        <v>64</v>
      </c>
      <c r="Y16" s="25" t="s">
        <v>67</v>
      </c>
    </row>
    <row r="17" spans="4:25" ht="15.75" thickBot="1" x14ac:dyDescent="0.3">
      <c r="D17" s="4" t="s">
        <v>5</v>
      </c>
      <c r="E17" s="4" t="s">
        <v>115</v>
      </c>
      <c r="F17" s="15" t="s">
        <v>112</v>
      </c>
      <c r="G17" s="6">
        <v>100</v>
      </c>
      <c r="H17" s="3" t="s">
        <v>114</v>
      </c>
      <c r="I17" t="s">
        <v>111</v>
      </c>
      <c r="J17" s="6">
        <v>100</v>
      </c>
      <c r="K17" s="19" t="s">
        <v>113</v>
      </c>
      <c r="L17" s="19" t="s">
        <v>110</v>
      </c>
      <c r="M17" s="6">
        <v>100</v>
      </c>
      <c r="S17" s="4" t="s">
        <v>5</v>
      </c>
      <c r="T17" s="4" t="s">
        <v>115</v>
      </c>
      <c r="U17" s="15" t="s">
        <v>112</v>
      </c>
      <c r="V17" s="3" t="s">
        <v>114</v>
      </c>
      <c r="W17" t="s">
        <v>111</v>
      </c>
      <c r="X17" s="18" t="s">
        <v>113</v>
      </c>
      <c r="Y17" s="25" t="s">
        <v>110</v>
      </c>
    </row>
    <row r="18" spans="4:25" x14ac:dyDescent="0.25">
      <c r="D18" s="2" t="s">
        <v>13</v>
      </c>
      <c r="E18" s="3" t="s">
        <v>73</v>
      </c>
      <c r="F18" t="s">
        <v>70</v>
      </c>
      <c r="G18" s="5">
        <v>100</v>
      </c>
      <c r="H18" s="2" t="s">
        <v>72</v>
      </c>
      <c r="I18" s="14" t="s">
        <v>69</v>
      </c>
      <c r="J18" s="5">
        <v>100</v>
      </c>
      <c r="K18" s="21" t="s">
        <v>71</v>
      </c>
      <c r="L18" s="21" t="s">
        <v>68</v>
      </c>
      <c r="M18" s="5">
        <v>100</v>
      </c>
      <c r="S18" s="2" t="s">
        <v>13</v>
      </c>
      <c r="T18" s="3" t="s">
        <v>73</v>
      </c>
      <c r="U18" t="s">
        <v>70</v>
      </c>
      <c r="V18" s="2" t="s">
        <v>72</v>
      </c>
      <c r="W18" s="14" t="s">
        <v>69</v>
      </c>
      <c r="X18" s="26" t="s">
        <v>71</v>
      </c>
      <c r="Y18" s="27" t="s">
        <v>68</v>
      </c>
    </row>
    <row r="19" spans="4:25" ht="15.75" thickBot="1" x14ac:dyDescent="0.3">
      <c r="D19" s="4" t="s">
        <v>14</v>
      </c>
      <c r="E19" s="4" t="s">
        <v>103</v>
      </c>
      <c r="F19" s="15" t="s">
        <v>100</v>
      </c>
      <c r="G19" s="7">
        <v>100</v>
      </c>
      <c r="H19" s="4" t="s">
        <v>102</v>
      </c>
      <c r="I19" s="15" t="s">
        <v>99</v>
      </c>
      <c r="J19" s="7">
        <v>100</v>
      </c>
      <c r="K19" s="23" t="s">
        <v>101</v>
      </c>
      <c r="L19" s="23" t="s">
        <v>98</v>
      </c>
      <c r="M19" s="7">
        <v>100</v>
      </c>
      <c r="S19" s="4" t="s">
        <v>14</v>
      </c>
      <c r="T19" s="4" t="s">
        <v>103</v>
      </c>
      <c r="U19" s="15" t="s">
        <v>100</v>
      </c>
      <c r="V19" s="4" t="s">
        <v>102</v>
      </c>
      <c r="W19" s="15" t="s">
        <v>99</v>
      </c>
      <c r="X19" s="30" t="s">
        <v>101</v>
      </c>
      <c r="Y19" s="31" t="s">
        <v>98</v>
      </c>
    </row>
    <row r="22" spans="4:25" ht="15.75" thickBot="1" x14ac:dyDescent="0.3"/>
    <row r="23" spans="4:25" ht="15.75" thickBot="1" x14ac:dyDescent="0.3">
      <c r="D23" s="217" t="s">
        <v>42</v>
      </c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9"/>
      <c r="Q23" t="s">
        <v>413</v>
      </c>
    </row>
    <row r="24" spans="4:25" x14ac:dyDescent="0.25">
      <c r="D24" s="222" t="s">
        <v>31</v>
      </c>
      <c r="E24" s="220" t="s">
        <v>46</v>
      </c>
      <c r="F24" s="221"/>
      <c r="G24" s="221"/>
      <c r="H24" s="214" t="s">
        <v>34</v>
      </c>
      <c r="I24" s="216"/>
      <c r="J24" s="215"/>
      <c r="K24" s="216" t="s">
        <v>32</v>
      </c>
      <c r="L24" s="216"/>
      <c r="M24" s="215"/>
      <c r="N24" s="216" t="s">
        <v>41</v>
      </c>
      <c r="O24" s="216"/>
      <c r="P24" s="215"/>
      <c r="Q24" t="s">
        <v>414</v>
      </c>
    </row>
    <row r="25" spans="4:25" ht="15.75" thickBot="1" x14ac:dyDescent="0.3">
      <c r="D25" s="223"/>
      <c r="E25" s="4" t="s">
        <v>47</v>
      </c>
      <c r="F25" s="15" t="s">
        <v>48</v>
      </c>
      <c r="G25" s="15" t="s">
        <v>49</v>
      </c>
      <c r="H25" s="4" t="s">
        <v>47</v>
      </c>
      <c r="I25" s="15" t="s">
        <v>48</v>
      </c>
      <c r="J25" s="7" t="s">
        <v>49</v>
      </c>
      <c r="K25" s="15" t="s">
        <v>47</v>
      </c>
      <c r="L25" s="15" t="s">
        <v>48</v>
      </c>
      <c r="M25" s="7" t="s">
        <v>49</v>
      </c>
      <c r="N25" s="15" t="s">
        <v>47</v>
      </c>
      <c r="O25" s="15" t="s">
        <v>48</v>
      </c>
      <c r="P25" s="7" t="s">
        <v>49</v>
      </c>
    </row>
    <row r="26" spans="4:25" x14ac:dyDescent="0.25">
      <c r="D26" s="2" t="s">
        <v>35</v>
      </c>
      <c r="E26" s="3" t="s">
        <v>160</v>
      </c>
      <c r="F26" t="s">
        <v>156</v>
      </c>
      <c r="G26">
        <v>100</v>
      </c>
      <c r="H26" s="3" t="s">
        <v>159</v>
      </c>
      <c r="I26" t="s">
        <v>155</v>
      </c>
      <c r="J26" s="6">
        <v>100</v>
      </c>
      <c r="K26" t="s">
        <v>158</v>
      </c>
      <c r="L26" t="s">
        <v>154</v>
      </c>
      <c r="M26" s="6">
        <v>100</v>
      </c>
      <c r="N26" s="19" t="s">
        <v>157</v>
      </c>
      <c r="O26" t="s">
        <v>153</v>
      </c>
      <c r="P26" s="6">
        <v>8</v>
      </c>
    </row>
    <row r="27" spans="4:25" x14ac:dyDescent="0.25">
      <c r="D27" s="3" t="s">
        <v>36</v>
      </c>
      <c r="E27" s="3" t="s">
        <v>152</v>
      </c>
      <c r="F27" t="s">
        <v>148</v>
      </c>
      <c r="G27">
        <v>100</v>
      </c>
      <c r="H27" s="3" t="s">
        <v>151</v>
      </c>
      <c r="I27" t="s">
        <v>147</v>
      </c>
      <c r="J27" s="6">
        <v>100</v>
      </c>
      <c r="K27" t="s">
        <v>150</v>
      </c>
      <c r="L27" t="s">
        <v>146</v>
      </c>
      <c r="M27" s="6">
        <v>100</v>
      </c>
      <c r="N27" s="19" t="s">
        <v>149</v>
      </c>
      <c r="O27" t="s">
        <v>145</v>
      </c>
      <c r="P27" s="6">
        <v>4</v>
      </c>
    </row>
    <row r="28" spans="4:25" ht="15.75" thickBot="1" x14ac:dyDescent="0.3">
      <c r="D28" s="4" t="s">
        <v>37</v>
      </c>
      <c r="E28" s="4" t="s">
        <v>168</v>
      </c>
      <c r="F28" s="15" t="s">
        <v>164</v>
      </c>
      <c r="G28" s="15">
        <v>100</v>
      </c>
      <c r="H28" s="3" t="s">
        <v>167</v>
      </c>
      <c r="I28" s="15" t="s">
        <v>163</v>
      </c>
      <c r="J28" s="6">
        <v>100</v>
      </c>
      <c r="K28" t="s">
        <v>166</v>
      </c>
      <c r="L28" t="s">
        <v>162</v>
      </c>
      <c r="M28" s="6">
        <v>100</v>
      </c>
      <c r="N28" s="19" t="s">
        <v>165</v>
      </c>
      <c r="O28" t="s">
        <v>161</v>
      </c>
      <c r="P28" s="6">
        <v>4</v>
      </c>
    </row>
    <row r="29" spans="4:25" x14ac:dyDescent="0.25">
      <c r="D29" s="3" t="s">
        <v>38</v>
      </c>
      <c r="E29" s="18" t="s">
        <v>183</v>
      </c>
      <c r="F29" t="s">
        <v>180</v>
      </c>
      <c r="G29">
        <v>100</v>
      </c>
      <c r="H29" s="2" t="s">
        <v>184</v>
      </c>
      <c r="I29" s="14" t="s">
        <v>179</v>
      </c>
      <c r="J29" s="5">
        <v>100</v>
      </c>
      <c r="K29" s="14" t="s">
        <v>182</v>
      </c>
      <c r="L29" s="14" t="s">
        <v>178</v>
      </c>
      <c r="M29" s="5">
        <v>100</v>
      </c>
      <c r="N29" s="14" t="s">
        <v>181</v>
      </c>
      <c r="O29" s="14" t="s">
        <v>177</v>
      </c>
      <c r="P29" s="5">
        <v>72</v>
      </c>
    </row>
    <row r="30" spans="4:25" x14ac:dyDescent="0.25">
      <c r="D30" s="3" t="s">
        <v>39</v>
      </c>
      <c r="E30" s="18" t="s">
        <v>199</v>
      </c>
      <c r="F30" t="s">
        <v>195</v>
      </c>
      <c r="G30">
        <v>100</v>
      </c>
      <c r="H30" s="3" t="s">
        <v>198</v>
      </c>
      <c r="I30" t="s">
        <v>194</v>
      </c>
      <c r="J30" s="6">
        <v>100</v>
      </c>
      <c r="K30" t="s">
        <v>197</v>
      </c>
      <c r="L30" t="s">
        <v>193</v>
      </c>
      <c r="M30" s="6">
        <v>100</v>
      </c>
      <c r="N30" t="s">
        <v>196</v>
      </c>
      <c r="O30" t="s">
        <v>192</v>
      </c>
      <c r="P30" s="6">
        <v>76</v>
      </c>
    </row>
    <row r="31" spans="4:25" ht="15.75" thickBot="1" x14ac:dyDescent="0.3">
      <c r="D31" s="4" t="s">
        <v>40</v>
      </c>
      <c r="E31" s="18" t="s">
        <v>329</v>
      </c>
      <c r="F31" t="s">
        <v>332</v>
      </c>
      <c r="G31">
        <v>100</v>
      </c>
      <c r="H31" s="4" t="s">
        <v>328</v>
      </c>
      <c r="I31" s="15" t="s">
        <v>331</v>
      </c>
      <c r="J31" s="7">
        <v>100</v>
      </c>
      <c r="K31" s="15" t="s">
        <v>327</v>
      </c>
      <c r="L31" s="15" t="s">
        <v>333</v>
      </c>
      <c r="M31" s="7">
        <v>100</v>
      </c>
      <c r="N31" s="15" t="s">
        <v>326</v>
      </c>
      <c r="O31" s="15" t="s">
        <v>330</v>
      </c>
      <c r="P31" s="7">
        <v>70</v>
      </c>
    </row>
    <row r="32" spans="4:25" ht="15.75" thickBot="1" x14ac:dyDescent="0.3">
      <c r="D32" s="3" t="s">
        <v>11</v>
      </c>
      <c r="E32" s="8" t="s">
        <v>191</v>
      </c>
      <c r="F32" s="1" t="s">
        <v>188</v>
      </c>
      <c r="G32" s="1">
        <v>100</v>
      </c>
      <c r="H32" s="3" t="s">
        <v>191</v>
      </c>
      <c r="I32" t="s">
        <v>187</v>
      </c>
      <c r="J32" s="6">
        <v>100</v>
      </c>
      <c r="K32" t="s">
        <v>190</v>
      </c>
      <c r="L32" t="s">
        <v>186</v>
      </c>
      <c r="M32" s="6">
        <v>100</v>
      </c>
      <c r="N32" s="19" t="s">
        <v>189</v>
      </c>
      <c r="O32" t="s">
        <v>185</v>
      </c>
      <c r="P32" s="6">
        <v>44</v>
      </c>
    </row>
    <row r="33" spans="4:16" ht="15.75" thickBot="1" x14ac:dyDescent="0.3">
      <c r="D33" s="8" t="s">
        <v>8</v>
      </c>
      <c r="E33" s="3" t="s">
        <v>128</v>
      </c>
      <c r="F33" t="s">
        <v>124</v>
      </c>
      <c r="G33">
        <v>100</v>
      </c>
      <c r="H33" s="8" t="s">
        <v>127</v>
      </c>
      <c r="I33" s="1" t="s">
        <v>123</v>
      </c>
      <c r="J33" s="13">
        <v>100</v>
      </c>
      <c r="K33" s="22" t="s">
        <v>126</v>
      </c>
      <c r="L33" s="1" t="s">
        <v>122</v>
      </c>
      <c r="M33" s="13">
        <v>100</v>
      </c>
      <c r="N33" s="22" t="s">
        <v>125</v>
      </c>
      <c r="O33" s="1" t="s">
        <v>121</v>
      </c>
      <c r="P33" s="13">
        <v>100</v>
      </c>
    </row>
    <row r="34" spans="4:16" x14ac:dyDescent="0.25">
      <c r="D34" s="2" t="s">
        <v>4</v>
      </c>
      <c r="E34" s="2" t="s">
        <v>132</v>
      </c>
      <c r="F34" s="14" t="s">
        <v>141</v>
      </c>
      <c r="G34" s="14">
        <v>84</v>
      </c>
      <c r="H34" s="3" t="s">
        <v>131</v>
      </c>
      <c r="I34" t="s">
        <v>142</v>
      </c>
      <c r="J34" s="6">
        <v>100</v>
      </c>
      <c r="K34" t="s">
        <v>130</v>
      </c>
      <c r="L34" t="s">
        <v>143</v>
      </c>
      <c r="M34" s="6">
        <v>100</v>
      </c>
      <c r="N34" s="19" t="s">
        <v>129</v>
      </c>
      <c r="O34" t="s">
        <v>144</v>
      </c>
      <c r="P34" s="6">
        <v>92</v>
      </c>
    </row>
    <row r="35" spans="4:16" ht="15.75" thickBot="1" x14ac:dyDescent="0.3">
      <c r="D35" s="4" t="s">
        <v>5</v>
      </c>
      <c r="E35" s="4" t="s">
        <v>207</v>
      </c>
      <c r="F35" s="15" t="s">
        <v>203</v>
      </c>
      <c r="G35" s="15">
        <v>98</v>
      </c>
      <c r="H35" s="3" t="s">
        <v>206</v>
      </c>
      <c r="I35" t="s">
        <v>202</v>
      </c>
      <c r="J35" s="6">
        <v>100</v>
      </c>
      <c r="K35" t="s">
        <v>205</v>
      </c>
      <c r="L35" t="s">
        <v>201</v>
      </c>
      <c r="M35" s="6">
        <v>100</v>
      </c>
      <c r="N35" s="19" t="s">
        <v>204</v>
      </c>
      <c r="O35" t="s">
        <v>200</v>
      </c>
      <c r="P35" s="6">
        <v>90</v>
      </c>
    </row>
    <row r="36" spans="4:16" x14ac:dyDescent="0.25">
      <c r="D36" s="2" t="s">
        <v>13</v>
      </c>
      <c r="E36" s="3" t="s">
        <v>140</v>
      </c>
      <c r="F36" t="s">
        <v>136</v>
      </c>
      <c r="G36">
        <v>100</v>
      </c>
      <c r="H36" s="2" t="s">
        <v>139</v>
      </c>
      <c r="I36" s="14" t="s">
        <v>135</v>
      </c>
      <c r="J36" s="5">
        <v>100</v>
      </c>
      <c r="K36" s="21" t="s">
        <v>138</v>
      </c>
      <c r="L36" s="14" t="s">
        <v>134</v>
      </c>
      <c r="M36" s="5">
        <v>100</v>
      </c>
      <c r="N36" s="21" t="s">
        <v>137</v>
      </c>
      <c r="O36" s="14" t="s">
        <v>133</v>
      </c>
      <c r="P36" s="5">
        <v>92</v>
      </c>
    </row>
    <row r="37" spans="4:16" ht="15.75" thickBot="1" x14ac:dyDescent="0.3">
      <c r="D37" s="4" t="s">
        <v>14</v>
      </c>
      <c r="E37" s="4" t="s">
        <v>176</v>
      </c>
      <c r="F37" s="15" t="s">
        <v>172</v>
      </c>
      <c r="G37" s="15">
        <v>100</v>
      </c>
      <c r="H37" s="4" t="s">
        <v>175</v>
      </c>
      <c r="I37" s="15" t="s">
        <v>171</v>
      </c>
      <c r="J37" s="7">
        <v>100</v>
      </c>
      <c r="K37" s="15" t="s">
        <v>174</v>
      </c>
      <c r="L37" s="15" t="s">
        <v>170</v>
      </c>
      <c r="M37" s="7">
        <v>100</v>
      </c>
      <c r="N37" s="23" t="s">
        <v>173</v>
      </c>
      <c r="O37" s="15" t="s">
        <v>169</v>
      </c>
      <c r="P37" s="7">
        <v>94</v>
      </c>
    </row>
    <row r="40" spans="4:16" ht="15.75" thickBot="1" x14ac:dyDescent="0.3">
      <c r="O40" s="19"/>
    </row>
    <row r="41" spans="4:16" ht="15.75" thickBot="1" x14ac:dyDescent="0.3">
      <c r="D41" s="217" t="s">
        <v>208</v>
      </c>
      <c r="E41" s="218"/>
      <c r="F41" s="218"/>
      <c r="G41" s="218"/>
      <c r="H41" s="218"/>
      <c r="I41" s="218"/>
      <c r="J41" s="218"/>
      <c r="K41" s="218"/>
      <c r="L41" s="218"/>
      <c r="M41" s="219"/>
    </row>
    <row r="42" spans="4:16" x14ac:dyDescent="0.25">
      <c r="D42" s="222" t="s">
        <v>31</v>
      </c>
      <c r="E42" s="220" t="s">
        <v>46</v>
      </c>
      <c r="F42" s="221"/>
      <c r="G42" s="221"/>
      <c r="H42" s="214" t="s">
        <v>32</v>
      </c>
      <c r="I42" s="216"/>
      <c r="J42" s="215"/>
      <c r="K42" s="216" t="s">
        <v>41</v>
      </c>
      <c r="L42" s="216"/>
      <c r="M42" s="215"/>
    </row>
    <row r="43" spans="4:16" ht="15.75" thickBot="1" x14ac:dyDescent="0.3">
      <c r="D43" s="223"/>
      <c r="E43" s="4" t="s">
        <v>47</v>
      </c>
      <c r="F43" s="15" t="s">
        <v>48</v>
      </c>
      <c r="G43" s="15" t="s">
        <v>49</v>
      </c>
      <c r="H43" s="4" t="s">
        <v>47</v>
      </c>
      <c r="I43" s="15" t="s">
        <v>48</v>
      </c>
      <c r="J43" s="7" t="s">
        <v>49</v>
      </c>
      <c r="K43" s="15" t="s">
        <v>47</v>
      </c>
      <c r="L43" s="15" t="s">
        <v>48</v>
      </c>
      <c r="M43" s="7" t="s">
        <v>49</v>
      </c>
    </row>
    <row r="44" spans="4:16" x14ac:dyDescent="0.25">
      <c r="D44" s="2" t="s">
        <v>35</v>
      </c>
      <c r="E44" s="34" t="s">
        <v>238</v>
      </c>
      <c r="F44" t="s">
        <v>235</v>
      </c>
      <c r="G44" s="6">
        <v>100</v>
      </c>
      <c r="H44" s="20" t="s">
        <v>237</v>
      </c>
      <c r="I44" t="s">
        <v>234</v>
      </c>
      <c r="J44" s="6">
        <v>100</v>
      </c>
      <c r="K44" s="36" t="s">
        <v>236</v>
      </c>
      <c r="L44" t="s">
        <v>233</v>
      </c>
      <c r="M44" s="6">
        <v>10</v>
      </c>
    </row>
    <row r="45" spans="4:16" x14ac:dyDescent="0.25">
      <c r="D45" s="3" t="s">
        <v>36</v>
      </c>
      <c r="E45" s="3" t="s">
        <v>220</v>
      </c>
      <c r="F45" t="s">
        <v>217</v>
      </c>
      <c r="G45" s="6">
        <v>100</v>
      </c>
      <c r="H45" s="3" t="s">
        <v>219</v>
      </c>
      <c r="I45" t="s">
        <v>216</v>
      </c>
      <c r="J45" s="6">
        <v>100</v>
      </c>
      <c r="K45" s="19" t="s">
        <v>218</v>
      </c>
      <c r="L45" t="s">
        <v>215</v>
      </c>
      <c r="M45" s="6">
        <v>12</v>
      </c>
    </row>
    <row r="46" spans="4:16" ht="15.75" thickBot="1" x14ac:dyDescent="0.3">
      <c r="D46" s="4" t="s">
        <v>37</v>
      </c>
      <c r="E46" s="4"/>
      <c r="F46" s="15"/>
      <c r="G46" s="6"/>
      <c r="H46" s="3"/>
      <c r="J46" s="6"/>
      <c r="M46" s="6"/>
    </row>
    <row r="47" spans="4:16" x14ac:dyDescent="0.25">
      <c r="D47" s="3" t="s">
        <v>38</v>
      </c>
      <c r="E47" s="18" t="s">
        <v>256</v>
      </c>
      <c r="F47" t="s">
        <v>253</v>
      </c>
      <c r="G47" s="5">
        <v>100</v>
      </c>
      <c r="H47" s="2" t="s">
        <v>255</v>
      </c>
      <c r="I47" s="14" t="s">
        <v>252</v>
      </c>
      <c r="J47" s="5">
        <v>100</v>
      </c>
      <c r="K47" s="14" t="s">
        <v>254</v>
      </c>
      <c r="L47" s="14" t="s">
        <v>251</v>
      </c>
      <c r="M47" s="5">
        <v>72</v>
      </c>
    </row>
    <row r="48" spans="4:16" x14ac:dyDescent="0.25">
      <c r="D48" s="3" t="s">
        <v>39</v>
      </c>
      <c r="E48" s="3" t="s">
        <v>262</v>
      </c>
      <c r="F48" t="s">
        <v>259</v>
      </c>
      <c r="G48" s="6">
        <v>100</v>
      </c>
      <c r="H48" s="18" t="s">
        <v>261</v>
      </c>
      <c r="I48" t="s">
        <v>258</v>
      </c>
      <c r="J48" s="6">
        <v>100</v>
      </c>
      <c r="K48" t="s">
        <v>260</v>
      </c>
      <c r="L48" t="s">
        <v>257</v>
      </c>
      <c r="M48" s="6">
        <v>78</v>
      </c>
    </row>
    <row r="49" spans="4:13" ht="15.75" thickBot="1" x14ac:dyDescent="0.3">
      <c r="D49" s="4" t="s">
        <v>40</v>
      </c>
      <c r="E49" s="18" t="s">
        <v>274</v>
      </c>
      <c r="F49" t="s">
        <v>271</v>
      </c>
      <c r="G49" s="7">
        <v>100</v>
      </c>
      <c r="H49" s="4" t="s">
        <v>273</v>
      </c>
      <c r="I49" s="15" t="s">
        <v>270</v>
      </c>
      <c r="J49" s="7">
        <v>100</v>
      </c>
      <c r="K49" s="15" t="s">
        <v>272</v>
      </c>
      <c r="L49" s="15" t="s">
        <v>269</v>
      </c>
      <c r="M49" s="7">
        <v>80</v>
      </c>
    </row>
    <row r="50" spans="4:13" ht="15.75" thickBot="1" x14ac:dyDescent="0.3">
      <c r="D50" s="3" t="s">
        <v>11</v>
      </c>
      <c r="E50" s="8" t="s">
        <v>250</v>
      </c>
      <c r="F50" s="1" t="s">
        <v>247</v>
      </c>
      <c r="G50" s="6">
        <v>100</v>
      </c>
      <c r="H50" s="3" t="s">
        <v>249</v>
      </c>
      <c r="I50" t="s">
        <v>246</v>
      </c>
      <c r="J50" s="6">
        <v>100</v>
      </c>
      <c r="K50" s="19" t="s">
        <v>248</v>
      </c>
      <c r="L50" t="s">
        <v>245</v>
      </c>
      <c r="M50" s="6">
        <v>58</v>
      </c>
    </row>
    <row r="51" spans="4:13" ht="15.75" thickBot="1" x14ac:dyDescent="0.3">
      <c r="D51" s="8" t="s">
        <v>8</v>
      </c>
      <c r="E51" s="3" t="s">
        <v>214</v>
      </c>
      <c r="F51" t="s">
        <v>211</v>
      </c>
      <c r="G51" s="13">
        <v>100</v>
      </c>
      <c r="H51" s="28" t="s">
        <v>213</v>
      </c>
      <c r="I51" s="1" t="s">
        <v>210</v>
      </c>
      <c r="J51" s="13">
        <v>96</v>
      </c>
      <c r="K51" s="22" t="s">
        <v>212</v>
      </c>
      <c r="L51" s="1" t="s">
        <v>209</v>
      </c>
      <c r="M51" s="13">
        <v>96</v>
      </c>
    </row>
    <row r="52" spans="4:13" x14ac:dyDescent="0.25">
      <c r="D52" s="2" t="s">
        <v>4</v>
      </c>
      <c r="E52" s="2" t="s">
        <v>232</v>
      </c>
      <c r="F52" s="14" t="s">
        <v>229</v>
      </c>
      <c r="G52" s="6">
        <v>100</v>
      </c>
      <c r="H52" s="3" t="s">
        <v>231</v>
      </c>
      <c r="I52" t="s">
        <v>228</v>
      </c>
      <c r="J52" s="6">
        <v>100</v>
      </c>
      <c r="K52" s="19" t="s">
        <v>230</v>
      </c>
      <c r="L52" t="s">
        <v>227</v>
      </c>
      <c r="M52" s="6">
        <v>72</v>
      </c>
    </row>
    <row r="53" spans="4:13" ht="15.75" thickBot="1" x14ac:dyDescent="0.3">
      <c r="D53" s="4" t="s">
        <v>5</v>
      </c>
      <c r="E53" s="4" t="s">
        <v>266</v>
      </c>
      <c r="F53" s="15" t="s">
        <v>265</v>
      </c>
      <c r="G53" s="6">
        <v>98</v>
      </c>
      <c r="H53" s="3" t="s">
        <v>267</v>
      </c>
      <c r="I53" t="s">
        <v>264</v>
      </c>
      <c r="J53" s="6">
        <v>100</v>
      </c>
      <c r="K53" s="37" t="s">
        <v>268</v>
      </c>
      <c r="L53" t="s">
        <v>263</v>
      </c>
      <c r="M53" s="6">
        <v>84</v>
      </c>
    </row>
    <row r="54" spans="4:13" x14ac:dyDescent="0.25">
      <c r="D54" s="2" t="s">
        <v>13</v>
      </c>
      <c r="E54" s="3" t="s">
        <v>226</v>
      </c>
      <c r="F54" t="s">
        <v>223</v>
      </c>
      <c r="G54" s="5">
        <v>100</v>
      </c>
      <c r="H54" s="2" t="s">
        <v>225</v>
      </c>
      <c r="I54" s="14" t="s">
        <v>222</v>
      </c>
      <c r="J54" s="5">
        <v>100</v>
      </c>
      <c r="K54" s="21" t="s">
        <v>224</v>
      </c>
      <c r="L54" s="14" t="s">
        <v>221</v>
      </c>
      <c r="M54" s="5">
        <v>78</v>
      </c>
    </row>
    <row r="55" spans="4:13" ht="15.75" thickBot="1" x14ac:dyDescent="0.3">
      <c r="D55" s="4" t="s">
        <v>14</v>
      </c>
      <c r="E55" s="4" t="s">
        <v>244</v>
      </c>
      <c r="F55" s="15" t="s">
        <v>241</v>
      </c>
      <c r="G55" s="7">
        <v>100</v>
      </c>
      <c r="H55" s="4" t="s">
        <v>243</v>
      </c>
      <c r="I55" s="15" t="s">
        <v>240</v>
      </c>
      <c r="J55" s="7">
        <v>100</v>
      </c>
      <c r="K55" s="23" t="s">
        <v>242</v>
      </c>
      <c r="L55" s="15" t="s">
        <v>239</v>
      </c>
      <c r="M55" s="7">
        <v>86</v>
      </c>
    </row>
    <row r="58" spans="4:13" ht="15.75" thickBot="1" x14ac:dyDescent="0.3"/>
    <row r="59" spans="4:13" ht="15.75" thickBot="1" x14ac:dyDescent="0.3">
      <c r="D59" s="217" t="s">
        <v>275</v>
      </c>
      <c r="E59" s="218"/>
      <c r="F59" s="218"/>
      <c r="G59" s="218"/>
      <c r="H59" s="218"/>
      <c r="I59" s="218"/>
      <c r="J59" s="219"/>
      <c r="K59" t="s">
        <v>412</v>
      </c>
    </row>
    <row r="60" spans="4:13" x14ac:dyDescent="0.25">
      <c r="D60" s="222" t="s">
        <v>31</v>
      </c>
      <c r="E60" s="225" t="s">
        <v>276</v>
      </c>
      <c r="F60" s="221"/>
      <c r="G60" s="221"/>
      <c r="H60" s="214" t="s">
        <v>277</v>
      </c>
      <c r="I60" s="216"/>
      <c r="J60" s="215"/>
      <c r="K60" s="234"/>
      <c r="L60" s="230"/>
      <c r="M60" s="230"/>
    </row>
    <row r="61" spans="4:13" ht="15.75" thickBot="1" x14ac:dyDescent="0.3">
      <c r="D61" s="223"/>
      <c r="E61" s="4" t="s">
        <v>47</v>
      </c>
      <c r="F61" s="15" t="s">
        <v>48</v>
      </c>
      <c r="G61" s="15" t="s">
        <v>49</v>
      </c>
      <c r="H61" s="3" t="s">
        <v>47</v>
      </c>
      <c r="I61" t="s">
        <v>48</v>
      </c>
      <c r="J61" s="6" t="s">
        <v>49</v>
      </c>
    </row>
    <row r="62" spans="4:13" x14ac:dyDescent="0.25">
      <c r="D62" s="2" t="s">
        <v>35</v>
      </c>
      <c r="E62" s="35" t="s">
        <v>278</v>
      </c>
      <c r="F62" t="s">
        <v>280</v>
      </c>
      <c r="G62">
        <v>100</v>
      </c>
      <c r="H62" s="2" t="s">
        <v>279</v>
      </c>
      <c r="I62" s="21" t="s">
        <v>281</v>
      </c>
      <c r="J62" s="5">
        <v>100</v>
      </c>
      <c r="K62" t="s">
        <v>411</v>
      </c>
      <c r="M62" s="19"/>
    </row>
    <row r="63" spans="4:13" x14ac:dyDescent="0.25">
      <c r="D63" s="3" t="s">
        <v>36</v>
      </c>
      <c r="E63" s="3" t="s">
        <v>284</v>
      </c>
      <c r="F63" s="19" t="s">
        <v>282</v>
      </c>
      <c r="G63">
        <v>100</v>
      </c>
      <c r="H63" s="18" t="s">
        <v>285</v>
      </c>
      <c r="I63" t="s">
        <v>283</v>
      </c>
      <c r="J63" s="6">
        <v>100</v>
      </c>
    </row>
    <row r="64" spans="4:13" ht="15.75" thickBot="1" x14ac:dyDescent="0.3">
      <c r="D64" s="4" t="s">
        <v>37</v>
      </c>
      <c r="E64" s="4" t="s">
        <v>286</v>
      </c>
      <c r="F64" s="23" t="s">
        <v>288</v>
      </c>
      <c r="G64">
        <v>100</v>
      </c>
      <c r="H64" s="30" t="s">
        <v>287</v>
      </c>
      <c r="I64" s="15" t="s">
        <v>289</v>
      </c>
      <c r="J64" s="7">
        <v>100</v>
      </c>
    </row>
    <row r="65" spans="4:23" x14ac:dyDescent="0.25">
      <c r="D65" s="3" t="s">
        <v>38</v>
      </c>
      <c r="E65" s="18" t="s">
        <v>317</v>
      </c>
      <c r="F65" s="19" t="s">
        <v>315</v>
      </c>
      <c r="G65" s="5">
        <v>100</v>
      </c>
      <c r="H65" s="2" t="s">
        <v>316</v>
      </c>
      <c r="I65" s="14" t="s">
        <v>314</v>
      </c>
      <c r="J65" s="5">
        <v>64</v>
      </c>
    </row>
    <row r="66" spans="4:23" x14ac:dyDescent="0.25">
      <c r="D66" s="3" t="s">
        <v>39</v>
      </c>
      <c r="E66" s="18" t="s">
        <v>313</v>
      </c>
      <c r="F66" s="19" t="s">
        <v>311</v>
      </c>
      <c r="G66" s="6">
        <v>100</v>
      </c>
      <c r="H66" s="3" t="s">
        <v>312</v>
      </c>
      <c r="I66" t="s">
        <v>310</v>
      </c>
      <c r="J66" s="6">
        <v>96</v>
      </c>
    </row>
    <row r="67" spans="4:23" ht="15.75" thickBot="1" x14ac:dyDescent="0.3">
      <c r="D67" s="4" t="s">
        <v>40</v>
      </c>
      <c r="E67" s="3" t="s">
        <v>325</v>
      </c>
      <c r="F67" t="s">
        <v>323</v>
      </c>
      <c r="G67" s="7">
        <v>96</v>
      </c>
      <c r="H67" s="30" t="s">
        <v>324</v>
      </c>
      <c r="I67" s="23" t="s">
        <v>322</v>
      </c>
      <c r="J67" s="7">
        <v>78</v>
      </c>
    </row>
    <row r="68" spans="4:23" ht="15.75" thickBot="1" x14ac:dyDescent="0.3">
      <c r="D68" s="3" t="s">
        <v>11</v>
      </c>
      <c r="E68" s="8" t="s">
        <v>321</v>
      </c>
      <c r="F68" s="1" t="s">
        <v>319</v>
      </c>
      <c r="G68" s="6">
        <v>94</v>
      </c>
      <c r="H68" s="18" t="s">
        <v>320</v>
      </c>
      <c r="I68" s="19" t="s">
        <v>318</v>
      </c>
      <c r="J68" s="6">
        <v>12</v>
      </c>
    </row>
    <row r="69" spans="4:23" ht="15.75" thickBot="1" x14ac:dyDescent="0.3">
      <c r="D69" s="8" t="s">
        <v>8</v>
      </c>
      <c r="E69" s="18" t="s">
        <v>292</v>
      </c>
      <c r="F69" t="s">
        <v>290</v>
      </c>
      <c r="G69" s="13">
        <v>96</v>
      </c>
      <c r="H69" s="28" t="s">
        <v>293</v>
      </c>
      <c r="I69" s="1" t="s">
        <v>291</v>
      </c>
      <c r="J69" s="13">
        <v>96</v>
      </c>
    </row>
    <row r="70" spans="4:23" x14ac:dyDescent="0.25">
      <c r="D70" s="2" t="s">
        <v>4</v>
      </c>
      <c r="E70" s="26" t="s">
        <v>297</v>
      </c>
      <c r="F70" s="14" t="s">
        <v>295</v>
      </c>
      <c r="G70" s="6">
        <v>94</v>
      </c>
      <c r="H70" s="18" t="s">
        <v>296</v>
      </c>
      <c r="I70" t="s">
        <v>294</v>
      </c>
      <c r="J70" s="6">
        <v>94</v>
      </c>
    </row>
    <row r="71" spans="4:23" ht="15.75" thickBot="1" x14ac:dyDescent="0.3">
      <c r="D71" s="4" t="s">
        <v>5</v>
      </c>
      <c r="E71" s="4" t="s">
        <v>309</v>
      </c>
      <c r="F71" s="15" t="s">
        <v>308</v>
      </c>
      <c r="G71" s="6">
        <v>88</v>
      </c>
      <c r="H71" s="18" t="s">
        <v>307</v>
      </c>
      <c r="I71" t="s">
        <v>306</v>
      </c>
      <c r="J71" s="6">
        <v>88</v>
      </c>
      <c r="L71" s="16"/>
      <c r="M71" s="16"/>
      <c r="N71" s="16"/>
      <c r="O71" s="16"/>
    </row>
    <row r="72" spans="4:23" x14ac:dyDescent="0.25">
      <c r="D72" s="2" t="s">
        <v>13</v>
      </c>
      <c r="E72" s="18" t="s">
        <v>301</v>
      </c>
      <c r="F72" t="s">
        <v>299</v>
      </c>
      <c r="G72" s="5">
        <v>100</v>
      </c>
      <c r="H72" s="2" t="s">
        <v>300</v>
      </c>
      <c r="I72" s="14" t="s">
        <v>298</v>
      </c>
      <c r="J72" s="5">
        <v>90</v>
      </c>
      <c r="L72" s="16"/>
      <c r="M72" s="16"/>
      <c r="N72" s="16"/>
      <c r="O72" s="16"/>
    </row>
    <row r="73" spans="4:23" ht="15.75" thickBot="1" x14ac:dyDescent="0.3">
      <c r="D73" s="4" t="s">
        <v>14</v>
      </c>
      <c r="E73" s="30" t="s">
        <v>305</v>
      </c>
      <c r="F73" s="15" t="s">
        <v>303</v>
      </c>
      <c r="G73" s="7">
        <v>100</v>
      </c>
      <c r="H73" s="4" t="s">
        <v>304</v>
      </c>
      <c r="I73" s="15" t="s">
        <v>302</v>
      </c>
      <c r="J73" s="7">
        <v>90</v>
      </c>
    </row>
    <row r="76" spans="4:23" ht="15.75" thickBot="1" x14ac:dyDescent="0.3"/>
    <row r="77" spans="4:23" ht="15.75" thickBot="1" x14ac:dyDescent="0.3">
      <c r="D77" s="217" t="s">
        <v>334</v>
      </c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9"/>
      <c r="Q77" s="16"/>
      <c r="R77" s="16"/>
      <c r="S77" s="16"/>
      <c r="T77" s="16"/>
      <c r="U77" s="16"/>
      <c r="V77" s="16"/>
      <c r="W77" s="16"/>
    </row>
    <row r="78" spans="4:23" x14ac:dyDescent="0.25">
      <c r="D78" s="222" t="s">
        <v>31</v>
      </c>
      <c r="E78" s="220" t="s">
        <v>276</v>
      </c>
      <c r="F78" s="221"/>
      <c r="G78" s="221"/>
      <c r="H78" s="214" t="s">
        <v>335</v>
      </c>
      <c r="I78" s="216"/>
      <c r="J78" s="215"/>
      <c r="K78" s="214" t="s">
        <v>336</v>
      </c>
      <c r="L78" s="216"/>
      <c r="M78" s="215"/>
      <c r="N78" s="214" t="s">
        <v>337</v>
      </c>
      <c r="O78" s="216"/>
      <c r="P78" s="215"/>
      <c r="Q78" s="16"/>
      <c r="R78" s="16"/>
      <c r="S78" s="16"/>
      <c r="T78" s="16"/>
      <c r="U78" s="16"/>
      <c r="V78" s="16"/>
      <c r="W78" s="16"/>
    </row>
    <row r="79" spans="4:23" ht="15.75" thickBot="1" x14ac:dyDescent="0.3">
      <c r="D79" s="223"/>
      <c r="E79" s="3" t="s">
        <v>47</v>
      </c>
      <c r="F79" t="s">
        <v>48</v>
      </c>
      <c r="G79" t="s">
        <v>49</v>
      </c>
      <c r="H79" s="3" t="s">
        <v>47</v>
      </c>
      <c r="I79" t="s">
        <v>48</v>
      </c>
      <c r="J79" s="6" t="s">
        <v>49</v>
      </c>
      <c r="K79" t="s">
        <v>47</v>
      </c>
      <c r="L79" t="s">
        <v>48</v>
      </c>
      <c r="M79" s="6" t="s">
        <v>49</v>
      </c>
      <c r="N79" t="s">
        <v>47</v>
      </c>
      <c r="O79" t="s">
        <v>48</v>
      </c>
      <c r="P79" s="6" t="s">
        <v>49</v>
      </c>
      <c r="Q79" s="16"/>
      <c r="R79" s="16"/>
      <c r="S79" s="16"/>
      <c r="T79" s="16"/>
      <c r="U79" s="16"/>
      <c r="V79" s="16"/>
      <c r="W79" s="16"/>
    </row>
    <row r="80" spans="4:23" x14ac:dyDescent="0.25">
      <c r="D80" s="2" t="s">
        <v>35</v>
      </c>
      <c r="E80" s="2"/>
      <c r="F80" s="14"/>
      <c r="G80" s="14"/>
      <c r="H80" s="2"/>
      <c r="I80" s="14"/>
      <c r="J80" s="5"/>
      <c r="K80" s="14"/>
      <c r="L80" s="14"/>
      <c r="M80" s="14"/>
      <c r="N80" s="2"/>
      <c r="O80" s="14"/>
      <c r="P80" s="5"/>
      <c r="Q80" s="16"/>
      <c r="R80" s="16"/>
      <c r="S80" s="16"/>
      <c r="T80" s="16"/>
      <c r="U80" s="16"/>
      <c r="V80" s="16"/>
      <c r="W80" s="16"/>
    </row>
    <row r="81" spans="4:23" x14ac:dyDescent="0.25">
      <c r="D81" s="3" t="s">
        <v>36</v>
      </c>
      <c r="E81" s="3" t="s">
        <v>397</v>
      </c>
      <c r="F81" t="s">
        <v>397</v>
      </c>
      <c r="G81" t="s">
        <v>397</v>
      </c>
      <c r="H81" s="40" t="s">
        <v>391</v>
      </c>
      <c r="I81" s="38" t="s">
        <v>394</v>
      </c>
      <c r="J81" s="6">
        <v>50</v>
      </c>
      <c r="K81" s="38" t="s">
        <v>392</v>
      </c>
      <c r="L81" s="38" t="s">
        <v>395</v>
      </c>
      <c r="M81">
        <v>48</v>
      </c>
      <c r="N81" s="48" t="s">
        <v>393</v>
      </c>
      <c r="O81" s="38" t="s">
        <v>396</v>
      </c>
      <c r="P81" s="6">
        <v>66</v>
      </c>
      <c r="Q81" s="16"/>
      <c r="R81" s="16"/>
      <c r="S81" s="16"/>
      <c r="T81" s="16"/>
      <c r="U81" s="16"/>
      <c r="V81" s="16"/>
      <c r="W81" s="16"/>
    </row>
    <row r="82" spans="4:23" ht="15.75" thickBot="1" x14ac:dyDescent="0.3">
      <c r="D82" s="4" t="s">
        <v>37</v>
      </c>
      <c r="E82" s="4"/>
      <c r="F82" s="15"/>
      <c r="G82" s="15"/>
      <c r="H82" s="4"/>
      <c r="I82" s="15"/>
      <c r="J82" s="7"/>
      <c r="K82" s="15"/>
      <c r="L82" s="15"/>
      <c r="M82" s="15"/>
      <c r="N82" s="4"/>
      <c r="O82" s="15"/>
      <c r="P82" s="7"/>
      <c r="Q82" s="16"/>
      <c r="R82" s="16"/>
      <c r="S82" s="16"/>
      <c r="T82" s="16"/>
      <c r="U82" s="16"/>
      <c r="V82" s="16"/>
      <c r="W82" s="16"/>
    </row>
    <row r="83" spans="4:23" x14ac:dyDescent="0.25">
      <c r="D83" s="3" t="s">
        <v>38</v>
      </c>
      <c r="E83" s="40" t="s">
        <v>383</v>
      </c>
      <c r="F83" s="38" t="s">
        <v>387</v>
      </c>
      <c r="G83">
        <v>36</v>
      </c>
      <c r="H83" s="42" t="s">
        <v>384</v>
      </c>
      <c r="I83" s="43" t="s">
        <v>388</v>
      </c>
      <c r="J83" s="5">
        <v>48</v>
      </c>
      <c r="K83" s="38" t="s">
        <v>385</v>
      </c>
      <c r="L83" s="38" t="s">
        <v>389</v>
      </c>
      <c r="M83">
        <v>60</v>
      </c>
      <c r="N83" s="48" t="s">
        <v>386</v>
      </c>
      <c r="O83" s="38" t="s">
        <v>390</v>
      </c>
      <c r="P83" s="6">
        <v>98</v>
      </c>
      <c r="Q83" s="16"/>
      <c r="R83" s="16"/>
      <c r="S83" s="16"/>
      <c r="T83" s="16"/>
      <c r="U83" s="16"/>
      <c r="V83" s="16"/>
      <c r="W83" s="16"/>
    </row>
    <row r="84" spans="4:23" x14ac:dyDescent="0.25">
      <c r="D84" s="3" t="s">
        <v>39</v>
      </c>
      <c r="E84" s="41" t="s">
        <v>367</v>
      </c>
      <c r="F84" s="39" t="s">
        <v>371</v>
      </c>
      <c r="G84">
        <v>38</v>
      </c>
      <c r="H84" s="49" t="s">
        <v>368</v>
      </c>
      <c r="I84" s="39" t="s">
        <v>372</v>
      </c>
      <c r="J84" s="6">
        <v>86</v>
      </c>
      <c r="K84" s="39" t="s">
        <v>369</v>
      </c>
      <c r="L84" s="39" t="s">
        <v>373</v>
      </c>
      <c r="M84">
        <v>86</v>
      </c>
      <c r="N84" s="41" t="s">
        <v>370</v>
      </c>
      <c r="O84" s="39" t="s">
        <v>374</v>
      </c>
      <c r="P84" s="6">
        <v>86</v>
      </c>
      <c r="Q84" s="16"/>
      <c r="R84" s="16"/>
      <c r="S84" s="16"/>
      <c r="T84" s="16"/>
      <c r="U84" s="16"/>
      <c r="V84" s="16"/>
      <c r="W84" s="16"/>
    </row>
    <row r="85" spans="4:23" ht="15.75" thickBot="1" x14ac:dyDescent="0.3">
      <c r="D85" s="4" t="s">
        <v>40</v>
      </c>
      <c r="E85" s="40" t="s">
        <v>398</v>
      </c>
      <c r="F85" s="38" t="s">
        <v>402</v>
      </c>
      <c r="G85">
        <v>38</v>
      </c>
      <c r="H85" s="40" t="s">
        <v>399</v>
      </c>
      <c r="I85" s="38" t="s">
        <v>403</v>
      </c>
      <c r="J85" s="6">
        <v>62</v>
      </c>
      <c r="K85" s="50" t="s">
        <v>400</v>
      </c>
      <c r="L85" s="38" t="s">
        <v>404</v>
      </c>
      <c r="M85">
        <v>72</v>
      </c>
      <c r="N85" s="40" t="s">
        <v>401</v>
      </c>
      <c r="O85" s="38" t="s">
        <v>405</v>
      </c>
      <c r="P85" s="6">
        <v>90</v>
      </c>
      <c r="Q85" s="16"/>
      <c r="R85" s="16"/>
      <c r="S85" s="16"/>
      <c r="T85" s="16"/>
      <c r="U85" s="16"/>
      <c r="V85" s="16"/>
      <c r="W85" s="16"/>
    </row>
    <row r="86" spans="4:23" ht="15.75" thickBot="1" x14ac:dyDescent="0.3">
      <c r="D86" s="3" t="s">
        <v>11</v>
      </c>
      <c r="E86" s="44" t="s">
        <v>406</v>
      </c>
      <c r="F86" s="45" t="s">
        <v>407</v>
      </c>
      <c r="G86" s="1">
        <v>30</v>
      </c>
      <c r="H86" s="44" t="s">
        <v>406</v>
      </c>
      <c r="I86" s="45" t="s">
        <v>408</v>
      </c>
      <c r="J86" s="13">
        <v>10</v>
      </c>
      <c r="K86" s="45" t="s">
        <v>406</v>
      </c>
      <c r="L86" s="45" t="s">
        <v>409</v>
      </c>
      <c r="M86" s="1">
        <v>34</v>
      </c>
      <c r="N86" s="44" t="s">
        <v>406</v>
      </c>
      <c r="O86" s="45" t="s">
        <v>410</v>
      </c>
      <c r="P86" s="13">
        <v>42</v>
      </c>
      <c r="Q86" s="16"/>
      <c r="R86" s="16"/>
      <c r="S86" s="16"/>
      <c r="T86" s="16"/>
      <c r="U86" s="16"/>
      <c r="V86" s="16"/>
      <c r="W86" s="16"/>
    </row>
    <row r="87" spans="4:23" ht="15.75" thickBot="1" x14ac:dyDescent="0.3">
      <c r="D87" s="8" t="s">
        <v>8</v>
      </c>
      <c r="E87" s="51" t="s">
        <v>353</v>
      </c>
      <c r="F87" s="45" t="s">
        <v>355</v>
      </c>
      <c r="G87" s="1">
        <v>70</v>
      </c>
      <c r="H87" s="44" t="s">
        <v>354</v>
      </c>
      <c r="I87" s="45" t="s">
        <v>356</v>
      </c>
      <c r="J87" s="13">
        <v>84</v>
      </c>
      <c r="K87" s="45" t="s">
        <v>354</v>
      </c>
      <c r="L87" s="45" t="s">
        <v>357</v>
      </c>
      <c r="M87" s="1">
        <v>84</v>
      </c>
      <c r="N87" s="44" t="s">
        <v>354</v>
      </c>
      <c r="O87" s="45" t="s">
        <v>358</v>
      </c>
      <c r="P87" s="13">
        <v>84</v>
      </c>
      <c r="Q87" s="16"/>
      <c r="R87" s="16"/>
      <c r="S87" s="16"/>
      <c r="T87" s="16"/>
      <c r="U87" s="16"/>
      <c r="V87" s="16"/>
      <c r="W87" s="16"/>
    </row>
    <row r="88" spans="4:23" x14ac:dyDescent="0.25">
      <c r="D88" s="2" t="s">
        <v>4</v>
      </c>
      <c r="E88" s="42" t="s">
        <v>359</v>
      </c>
      <c r="F88" s="43" t="s">
        <v>363</v>
      </c>
      <c r="G88" s="14">
        <v>14</v>
      </c>
      <c r="H88" s="42" t="s">
        <v>360</v>
      </c>
      <c r="I88" s="43" t="s">
        <v>364</v>
      </c>
      <c r="J88" s="5">
        <v>92</v>
      </c>
      <c r="K88" s="52" t="s">
        <v>361</v>
      </c>
      <c r="L88" s="43" t="s">
        <v>365</v>
      </c>
      <c r="M88" s="14">
        <v>92</v>
      </c>
      <c r="N88" s="42" t="s">
        <v>362</v>
      </c>
      <c r="O88" s="43" t="s">
        <v>366</v>
      </c>
      <c r="P88" s="5">
        <v>90</v>
      </c>
      <c r="Q88" s="16"/>
      <c r="R88" s="16"/>
      <c r="S88" s="16"/>
      <c r="T88" s="16"/>
      <c r="U88" s="16"/>
      <c r="V88" s="16"/>
      <c r="W88" s="16"/>
    </row>
    <row r="89" spans="4:23" ht="15.75" thickBot="1" x14ac:dyDescent="0.3">
      <c r="D89" s="4" t="s">
        <v>5</v>
      </c>
      <c r="E89" s="53" t="s">
        <v>375</v>
      </c>
      <c r="F89" s="47" t="s">
        <v>379</v>
      </c>
      <c r="G89" s="15">
        <v>28</v>
      </c>
      <c r="H89" s="46" t="s">
        <v>376</v>
      </c>
      <c r="I89" s="47" t="s">
        <v>380</v>
      </c>
      <c r="J89" s="7">
        <v>76</v>
      </c>
      <c r="K89" s="54" t="s">
        <v>377</v>
      </c>
      <c r="L89" s="47" t="s">
        <v>381</v>
      </c>
      <c r="M89" s="15">
        <v>72</v>
      </c>
      <c r="N89" s="46" t="s">
        <v>378</v>
      </c>
      <c r="O89" s="47" t="s">
        <v>382</v>
      </c>
      <c r="P89" s="7">
        <v>70</v>
      </c>
      <c r="Q89" s="16"/>
      <c r="R89" s="16"/>
      <c r="S89" s="16"/>
      <c r="T89" s="16"/>
      <c r="U89" s="16"/>
      <c r="V89" s="16"/>
      <c r="W89" s="16"/>
    </row>
    <row r="90" spans="4:23" x14ac:dyDescent="0.25">
      <c r="D90" s="2" t="s">
        <v>13</v>
      </c>
      <c r="E90" s="3" t="s">
        <v>338</v>
      </c>
      <c r="F90" t="s">
        <v>344</v>
      </c>
      <c r="G90">
        <v>60</v>
      </c>
      <c r="H90" s="3" t="s">
        <v>338</v>
      </c>
      <c r="I90" t="s">
        <v>343</v>
      </c>
      <c r="J90" s="6">
        <v>100</v>
      </c>
      <c r="K90" s="19" t="s">
        <v>340</v>
      </c>
      <c r="L90" t="s">
        <v>342</v>
      </c>
      <c r="M90">
        <v>100</v>
      </c>
      <c r="N90" s="3" t="s">
        <v>339</v>
      </c>
      <c r="O90" t="s">
        <v>341</v>
      </c>
      <c r="P90" s="6">
        <v>100</v>
      </c>
      <c r="Q90" s="16"/>
      <c r="R90" s="16"/>
      <c r="S90" s="16"/>
      <c r="T90" s="16"/>
      <c r="U90" s="16"/>
      <c r="V90" s="16"/>
      <c r="W90" s="16"/>
    </row>
    <row r="91" spans="4:23" ht="15.75" thickBot="1" x14ac:dyDescent="0.3">
      <c r="D91" s="4" t="s">
        <v>14</v>
      </c>
      <c r="E91" s="4" t="s">
        <v>345</v>
      </c>
      <c r="F91" s="15" t="s">
        <v>349</v>
      </c>
      <c r="G91" s="15">
        <v>52</v>
      </c>
      <c r="H91" s="30" t="s">
        <v>346</v>
      </c>
      <c r="I91" s="15" t="s">
        <v>350</v>
      </c>
      <c r="J91" s="7">
        <v>90</v>
      </c>
      <c r="K91" s="15" t="s">
        <v>347</v>
      </c>
      <c r="L91" s="15" t="s">
        <v>351</v>
      </c>
      <c r="M91" s="15">
        <v>92</v>
      </c>
      <c r="N91" s="4" t="s">
        <v>348</v>
      </c>
      <c r="O91" s="15" t="s">
        <v>352</v>
      </c>
      <c r="P91" s="7">
        <v>96</v>
      </c>
      <c r="Q91" s="16"/>
      <c r="R91" s="16"/>
      <c r="S91" s="16"/>
      <c r="T91" s="16"/>
      <c r="U91" s="16"/>
      <c r="V91" s="16"/>
      <c r="W91" s="16"/>
    </row>
    <row r="92" spans="4:23" x14ac:dyDescent="0.25">
      <c r="Q92" s="16"/>
      <c r="R92" s="16"/>
      <c r="S92" s="16"/>
      <c r="T92" s="16"/>
      <c r="U92" s="16"/>
      <c r="V92" s="16"/>
      <c r="W92" s="16"/>
    </row>
  </sheetData>
  <mergeCells count="32">
    <mergeCell ref="D77:P77"/>
    <mergeCell ref="D78:D79"/>
    <mergeCell ref="E78:G78"/>
    <mergeCell ref="H78:J78"/>
    <mergeCell ref="K78:M78"/>
    <mergeCell ref="N78:P78"/>
    <mergeCell ref="N24:P24"/>
    <mergeCell ref="D23:P23"/>
    <mergeCell ref="S5:Y5"/>
    <mergeCell ref="S6:S7"/>
    <mergeCell ref="T6:U6"/>
    <mergeCell ref="V6:W6"/>
    <mergeCell ref="X6:Y6"/>
    <mergeCell ref="D6:D7"/>
    <mergeCell ref="D5:M5"/>
    <mergeCell ref="D24:D25"/>
    <mergeCell ref="E24:G24"/>
    <mergeCell ref="H24:J24"/>
    <mergeCell ref="K24:M24"/>
    <mergeCell ref="E6:G6"/>
    <mergeCell ref="H6:J6"/>
    <mergeCell ref="K6:M6"/>
    <mergeCell ref="D41:M41"/>
    <mergeCell ref="D42:D43"/>
    <mergeCell ref="E42:G42"/>
    <mergeCell ref="H42:J42"/>
    <mergeCell ref="K42:M42"/>
    <mergeCell ref="D60:D61"/>
    <mergeCell ref="E60:G60"/>
    <mergeCell ref="H60:J60"/>
    <mergeCell ref="K60:M60"/>
    <mergeCell ref="D59:J5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546FC-8FAD-4E11-87FA-2A376E84C9BD}">
  <dimension ref="D5:P73"/>
  <sheetViews>
    <sheetView topLeftCell="A47" workbookViewId="0">
      <selection activeCell="L66" sqref="L66"/>
    </sheetView>
  </sheetViews>
  <sheetFormatPr defaultRowHeight="15" x14ac:dyDescent="0.25"/>
  <sheetData>
    <row r="5" spans="4:12" x14ac:dyDescent="0.25">
      <c r="D5" t="str">
        <f>IF(ISNUMBER(FIND("±", 'results new format'!D5)), LEFT('results new format'!D5, FIND("±", 'results new format'!D5) - 1), 'results new format'!D5)</f>
        <v>FP</v>
      </c>
      <c r="E5">
        <f>IF(ISNUMBER(FIND("±", 'results new format'!E5)), LEFT('results new format'!E5, FIND("±", 'results new format'!E5) - 1), 'results new format'!E5)</f>
        <v>0</v>
      </c>
      <c r="F5">
        <f>IF(ISNUMBER(FIND("±", 'results new format'!F5)), LEFT('results new format'!F5, FIND("±", 'results new format'!F5) - 1), 'results new format'!F5)</f>
        <v>0</v>
      </c>
      <c r="G5">
        <f>IF(ISNUMBER(FIND("±", 'results new format'!G5)), LEFT('results new format'!G5, FIND("±", 'results new format'!G5) - 1), 'results new format'!G5)</f>
        <v>0</v>
      </c>
      <c r="H5">
        <f>IF(ISNUMBER(FIND("±", 'results new format'!H5)), LEFT('results new format'!H5, FIND("±", 'results new format'!H5) - 1), 'results new format'!H5)</f>
        <v>0</v>
      </c>
      <c r="I5">
        <f>IF(ISNUMBER(FIND("±", 'results new format'!I5)), LEFT('results new format'!I5, FIND("±", 'results new format'!I5) - 1), 'results new format'!I5)</f>
        <v>0</v>
      </c>
      <c r="J5">
        <f>IF(ISNUMBER(FIND("±", 'results new format'!J5)), LEFT('results new format'!J5, FIND("±", 'results new format'!J5) - 1), 'results new format'!J5)</f>
        <v>0</v>
      </c>
      <c r="K5">
        <f>IF(ISNUMBER(FIND("±", 'results new format'!K5)), LEFT('results new format'!K5, FIND("±", 'results new format'!K5) - 1), 'results new format'!K5)</f>
        <v>0</v>
      </c>
      <c r="L5">
        <f>IF(ISNUMBER(FIND("±", 'results new format'!L5)), LEFT('results new format'!L5, FIND("±", 'results new format'!L5) - 1), 'results new format'!L5)</f>
        <v>0</v>
      </c>
    </row>
    <row r="6" spans="4:12" x14ac:dyDescent="0.25">
      <c r="D6" t="str">
        <f>IF(ISNUMBER(FIND("±", 'results new format'!D6)), LEFT('results new format'!D6, FIND("±", 'results new format'!D6) - 1), 'results new format'!D6)</f>
        <v>Problem</v>
      </c>
      <c r="E6" t="str">
        <f>IF(ISNUMBER(FIND("±", 'results new format'!E6)), LEFT('results new format'!E6, FIND("±", 'results new format'!E6) - 1), 'results new format'!E6)</f>
        <v>Optimisitc</v>
      </c>
      <c r="F6">
        <f>IF(ISNUMBER(FIND("±", 'results new format'!F6)), LEFT('results new format'!F6, FIND("±", 'results new format'!F6) - 1), 'results new format'!F6)</f>
        <v>0</v>
      </c>
      <c r="G6">
        <f>IF(ISNUMBER(FIND("±", 'results new format'!G6)), LEFT('results new format'!G6, FIND("±", 'results new format'!G6) - 1), 'results new format'!G6)</f>
        <v>0</v>
      </c>
      <c r="H6" t="str">
        <f>IF(ISNUMBER(FIND("±", 'results new format'!H6)), LEFT('results new format'!H6, FIND("±", 'results new format'!H6) - 1), 'results new format'!H6)</f>
        <v>Pessimistic</v>
      </c>
      <c r="I6">
        <f>IF(ISNUMBER(FIND("±", 'results new format'!I6)), LEFT('results new format'!I6, FIND("±", 'results new format'!I6) - 1), 'results new format'!I6)</f>
        <v>0</v>
      </c>
      <c r="J6">
        <f>IF(ISNUMBER(FIND("±", 'results new format'!J6)), LEFT('results new format'!J6, FIND("±", 'results new format'!J6) - 1), 'results new format'!J6)</f>
        <v>0</v>
      </c>
      <c r="K6" t="str">
        <f>IF(ISNUMBER(FIND("±", 'results new format'!K6)), LEFT('results new format'!K6, FIND("±", 'results new format'!K6) - 1), 'results new format'!K6)</f>
        <v>Lazy</v>
      </c>
      <c r="L6">
        <f>IF(ISNUMBER(FIND("±", 'results new format'!L6)), LEFT('results new format'!L6, FIND("±", 'results new format'!L6) - 1), 'results new format'!L6)</f>
        <v>0</v>
      </c>
    </row>
    <row r="7" spans="4:12" x14ac:dyDescent="0.25">
      <c r="D7">
        <f>IF(ISNUMBER(FIND("±", 'results new format'!D7)), LEFT('results new format'!D7, FIND("±", 'results new format'!D7) - 1), 'results new format'!D7)</f>
        <v>0</v>
      </c>
      <c r="E7" t="str">
        <f>IF(ISNUMBER(FIND("±", 'results new format'!E7)), LEFT('results new format'!E7, FIND("±", 'results new format'!E7) - 1), 'results new format'!E7)</f>
        <v>Actions</v>
      </c>
      <c r="F7" t="str">
        <f>IF(ISNUMBER(FIND("±", 'results new format'!F7)), LEFT('results new format'!F7, FIND("±", 'results new format'!F7) - 1), 'results new format'!F7)</f>
        <v>Time</v>
      </c>
      <c r="G7" t="str">
        <f>IF(ISNUMBER(FIND("±", 'results new format'!G7)), LEFT('results new format'!G7, FIND("±", 'results new format'!G7) - 1), 'results new format'!G7)</f>
        <v>% Success</v>
      </c>
      <c r="H7" t="str">
        <f>IF(ISNUMBER(FIND("±", 'results new format'!H7)), LEFT('results new format'!H7, FIND("±", 'results new format'!H7) - 1), 'results new format'!H7)</f>
        <v>Actions</v>
      </c>
      <c r="I7" t="str">
        <f>IF(ISNUMBER(FIND("±", 'results new format'!I7)), LEFT('results new format'!I7, FIND("±", 'results new format'!I7) - 1), 'results new format'!I7)</f>
        <v>Time</v>
      </c>
      <c r="J7" t="str">
        <f>IF(ISNUMBER(FIND("±", 'results new format'!J7)), LEFT('results new format'!J7, FIND("±", 'results new format'!J7) - 1), 'results new format'!J7)</f>
        <v>% Success</v>
      </c>
      <c r="K7" t="str">
        <f>IF(ISNUMBER(FIND("±", 'results new format'!K7)), LEFT('results new format'!K7, FIND("±", 'results new format'!K7) - 1), 'results new format'!K7)</f>
        <v>Actions</v>
      </c>
      <c r="L7" t="str">
        <f>IF(ISNUMBER(FIND("±", 'results new format'!L7)), LEFT('results new format'!L7, FIND("±", 'results new format'!L7) - 1), 'results new format'!L7)</f>
        <v>Time</v>
      </c>
    </row>
    <row r="8" spans="4:12" x14ac:dyDescent="0.25">
      <c r="D8" t="str">
        <f>IF(ISNUMBER(FIND("±", 'results new format'!D8)), LEFT('results new format'!D8, FIND("±", 'results new format'!D8) - 1), 'results new format'!D8)</f>
        <v>doors-11</v>
      </c>
      <c r="E8" s="33" t="str">
        <f>IF(ISNUMBER(FIND(" ± ", 'results new format'!E8)), LEFT('results new format'!E8, FIND(" ± ", 'results new format'!E8) - 2), 'results new format'!E8)</f>
        <v>93.9</v>
      </c>
      <c r="F8" s="33" t="str">
        <f>IF(ISNUMBER(FIND(" ± ", 'results new format'!F8)), LEFT('results new format'!F8, FIND(" ± ", 'results new format'!F8) - 2), 'results new format'!F8)</f>
        <v>1.0</v>
      </c>
      <c r="G8" s="33">
        <f>IF(ISNUMBER(FIND(" ± ", 'results new format'!G8)), LEFT('results new format'!G8, FIND(" ± ", 'results new format'!G8) - 2), 'results new format'!G8)</f>
        <v>100</v>
      </c>
      <c r="H8" s="33" t="str">
        <f>IF(ISNUMBER(FIND(" ± ", 'results new format'!H8)), LEFT('results new format'!H8, FIND(" ± ", 'results new format'!H8) - 2), 'results new format'!H8)</f>
        <v>135.0</v>
      </c>
      <c r="I8" s="33" t="str">
        <f>IF(ISNUMBER(FIND(" ± ", 'results new format'!I8)), LEFT('results new format'!I8, FIND(" ± ", 'results new format'!I8) - 2), 'results new format'!I8)</f>
        <v>2.9</v>
      </c>
      <c r="J8" s="33">
        <f>IF(ISNUMBER(FIND(" ± ", 'results new format'!J8)), LEFT('results new format'!J8, FIND(" ± ", 'results new format'!J8) - 2), 'results new format'!J8)</f>
        <v>100</v>
      </c>
      <c r="K8" s="32" t="str">
        <f>IF(ISNUMBER(FIND(" ± ", 'results new format'!K8)), LEFT('results new format'!K8, FIND(" ± ", 'results new format'!K8) - 2), 'results new format'!K8)</f>
        <v>73.9</v>
      </c>
      <c r="L8" s="32" t="str">
        <f>IF(ISNUMBER(FIND(" ± ", 'results new format'!L8)), LEFT('results new format'!L8, FIND(" ± ", 'results new format'!L8) - 2), 'results new format'!L8)</f>
        <v>0.7</v>
      </c>
    </row>
    <row r="9" spans="4:12" x14ac:dyDescent="0.25">
      <c r="D9" t="str">
        <f>IF(ISNUMBER(FIND("±", 'results new format'!D9)), LEFT('results new format'!D9, FIND("±", 'results new format'!D9) - 1), 'results new format'!D9)</f>
        <v>doors-13</v>
      </c>
      <c r="E9" s="33" t="str">
        <f>IF(ISNUMBER(FIND(" ± ", 'results new format'!E9)), LEFT('results new format'!E9, FIND(" ± ", 'results new format'!E9) - 2), 'results new format'!E9)</f>
        <v>108.9</v>
      </c>
      <c r="F9" s="33" t="str">
        <f>IF(ISNUMBER(FIND(" ± ", 'results new format'!F9)), LEFT('results new format'!F9, FIND(" ± ", 'results new format'!F9) - 2), 'results new format'!F9)</f>
        <v>1.8</v>
      </c>
      <c r="G9" s="33">
        <f>IF(ISNUMBER(FIND(" ± ", 'results new format'!G9)), LEFT('results new format'!G9, FIND(" ± ", 'results new format'!G9) - 2), 'results new format'!G9)</f>
        <v>100</v>
      </c>
      <c r="H9" s="33" t="str">
        <f>IF(ISNUMBER(FIND(" ± ", 'results new format'!H9)), LEFT('results new format'!H9, FIND(" ± ", 'results new format'!H9) - 2), 'results new format'!H9)</f>
        <v>145.8</v>
      </c>
      <c r="I9" s="33" t="str">
        <f>IF(ISNUMBER(FIND(" ± ", 'results new format'!I9)), LEFT('results new format'!I9, FIND(" ± ", 'results new format'!I9) - 2), 'results new format'!I9)</f>
        <v>4.8</v>
      </c>
      <c r="J9" s="33">
        <f>IF(ISNUMBER(FIND(" ± ", 'results new format'!J9)), LEFT('results new format'!J9, FIND(" ± ", 'results new format'!J9) - 2), 'results new format'!J9)</f>
        <v>100</v>
      </c>
      <c r="K9" s="32" t="str">
        <f>IF(ISNUMBER(FIND(" ± ", 'results new format'!K9)), LEFT('results new format'!K9, FIND(" ± ", 'results new format'!K9) - 2), 'results new format'!K9)</f>
        <v>84.9</v>
      </c>
      <c r="L9" s="32" t="str">
        <f>IF(ISNUMBER(FIND(" ± ", 'results new format'!L9)), LEFT('results new format'!L9, FIND(" ± ", 'results new format'!L9) - 2), 'results new format'!L9)</f>
        <v>1.3</v>
      </c>
    </row>
    <row r="10" spans="4:12" x14ac:dyDescent="0.25">
      <c r="D10" t="str">
        <f>IF(ISNUMBER(FIND("±", 'results new format'!D10)), LEFT('results new format'!D10, FIND("±", 'results new format'!D10) - 1), 'results new format'!D10)</f>
        <v>doors-15</v>
      </c>
      <c r="E10" s="33" t="str">
        <f>IF(ISNUMBER(FIND(" ± ", 'results new format'!E10)), LEFT('results new format'!E10, FIND(" ± ", 'results new format'!E10) - 2), 'results new format'!E10)</f>
        <v>164.5</v>
      </c>
      <c r="F10" s="33" t="str">
        <f>IF(ISNUMBER(FIND(" ± ", 'results new format'!F10)), LEFT('results new format'!F10, FIND(" ± ", 'results new format'!F10) - 2), 'results new format'!F10)</f>
        <v>5.1</v>
      </c>
      <c r="G10" s="33">
        <f>IF(ISNUMBER(FIND(" ± ", 'results new format'!G10)), LEFT('results new format'!G10, FIND(" ± ", 'results new format'!G10) - 2), 'results new format'!G10)</f>
        <v>100</v>
      </c>
      <c r="H10" s="33" t="str">
        <f>IF(ISNUMBER(FIND(" ± ", 'results new format'!H10)), LEFT('results new format'!H10, FIND(" ± ", 'results new format'!H10) - 2), 'results new format'!H10)</f>
        <v>239.3</v>
      </c>
      <c r="I10" s="33" t="str">
        <f>IF(ISNUMBER(FIND(" ± ", 'results new format'!I10)), LEFT('results new format'!I10, FIND(" ± ", 'results new format'!I10) - 2), 'results new format'!I10)</f>
        <v>15.3</v>
      </c>
      <c r="J10" s="33">
        <f>IF(ISNUMBER(FIND(" ± ", 'results new format'!J10)), LEFT('results new format'!J10, FIND(" ± ", 'results new format'!J10) - 2), 'results new format'!J10)</f>
        <v>100</v>
      </c>
      <c r="K10" s="32" t="str">
        <f>IF(ISNUMBER(FIND(" ± ", 'results new format'!K10)), LEFT('results new format'!K10, FIND(" ± ", 'results new format'!K10) - 2), 'results new format'!K10)</f>
        <v>132.2</v>
      </c>
      <c r="L10" s="32" t="str">
        <f>IF(ISNUMBER(FIND(" ± ", 'results new format'!L10)), LEFT('results new format'!L10, FIND(" ± ", 'results new format'!L10) - 2), 'results new format'!L10)</f>
        <v>4.0</v>
      </c>
    </row>
    <row r="11" spans="4:12" x14ac:dyDescent="0.25">
      <c r="D11" t="str">
        <f>IF(ISNUMBER(FIND("±", 'results new format'!D11)), LEFT('results new format'!D11, FIND("±", 'results new format'!D11) - 1), 'results new format'!D11)</f>
        <v>colorballs-9-3</v>
      </c>
      <c r="E11" s="33" t="str">
        <f>IF(ISNUMBER(FIND(" ± ", 'results new format'!E11)), LEFT('results new format'!E11, FIND(" ± ", 'results new format'!E11) - 2), 'results new format'!E11)</f>
        <v>711.4</v>
      </c>
      <c r="F11" s="33" t="str">
        <f>IF(ISNUMBER(FIND(" ± ", 'results new format'!F11)), LEFT('results new format'!F11, FIND(" ± ", 'results new format'!F11) - 2), 'results new format'!F11)</f>
        <v>67.5</v>
      </c>
      <c r="G11" s="33">
        <f>IF(ISNUMBER(FIND(" ± ", 'results new format'!G11)), LEFT('results new format'!G11, FIND(" ± ", 'results new format'!G11) - 2), 'results new format'!G11)</f>
        <v>100</v>
      </c>
      <c r="H11" s="33" t="str">
        <f>IF(ISNUMBER(FIND(" ± ", 'results new format'!H11)), LEFT('results new format'!H11, FIND(" ± ", 'results new format'!H11) - 2), 'results new format'!H11)</f>
        <v>759.3</v>
      </c>
      <c r="I11" s="33" t="str">
        <f>IF(ISNUMBER(FIND(" ± ", 'results new format'!I11)), LEFT('results new format'!I11, FIND(" ± ", 'results new format'!I11) - 2), 'results new format'!I11)</f>
        <v>73.2</v>
      </c>
      <c r="J11" s="33">
        <f>IF(ISNUMBER(FIND(" ± ", 'results new format'!J11)), LEFT('results new format'!J11, FIND(" ± ", 'results new format'!J11) - 2), 'results new format'!J11)</f>
        <v>100</v>
      </c>
      <c r="K11" s="32" t="str">
        <f>IF(ISNUMBER(FIND(" ± ", 'results new format'!K11)), LEFT('results new format'!K11, FIND(" ± ", 'results new format'!K11) - 2), 'results new format'!K11)</f>
        <v>704.6</v>
      </c>
      <c r="L11" s="32" t="str">
        <f>IF(ISNUMBER(FIND(" ± ", 'results new format'!L11)), LEFT('results new format'!L11, FIND(" ± ", 'results new format'!L11) - 2), 'results new format'!L11)</f>
        <v>64.6</v>
      </c>
    </row>
    <row r="12" spans="4:12" x14ac:dyDescent="0.25">
      <c r="D12" t="str">
        <f>IF(ISNUMBER(FIND("±", 'results new format'!D12)), LEFT('results new format'!D12, FIND("±", 'results new format'!D12) - 1), 'results new format'!D12)</f>
        <v>colorballs-11-1</v>
      </c>
      <c r="E12" s="32" t="str">
        <f>IF(ISNUMBER(FIND(" ± ", 'results new format'!E12)), LEFT('results new format'!E12, FIND(" ± ", 'results new format'!E12) - 2), 'results new format'!E12)</f>
        <v>411.8</v>
      </c>
      <c r="F12" s="32" t="str">
        <f>IF(ISNUMBER(FIND(" ± ", 'results new format'!F12)), LEFT('results new format'!F12, FIND(" ± ", 'results new format'!F12) - 2), 'results new format'!F12)</f>
        <v>88.9</v>
      </c>
      <c r="G12" s="33">
        <f>IF(ISNUMBER(FIND(" ± ", 'results new format'!G12)), LEFT('results new format'!G12, FIND(" ± ", 'results new format'!G12) - 2), 'results new format'!G12)</f>
        <v>100</v>
      </c>
      <c r="H12" s="33" t="str">
        <f>IF(ISNUMBER(FIND(" ± ", 'results new format'!H12)), LEFT('results new format'!H12, FIND(" ± ", 'results new format'!H12) - 2), 'results new format'!H12)</f>
        <v>541.4</v>
      </c>
      <c r="I12" s="33" t="str">
        <f>IF(ISNUMBER(FIND(" ± ", 'results new format'!I12)), LEFT('results new format'!I12, FIND(" ± ", 'results new format'!I12) - 2), 'results new format'!I12)</f>
        <v>126.7</v>
      </c>
      <c r="J12" s="33">
        <f>IF(ISNUMBER(FIND(" ± ", 'results new format'!J12)), LEFT('results new format'!J12, FIND(" ± ", 'results new format'!J12) - 2), 'results new format'!J12)</f>
        <v>100</v>
      </c>
      <c r="K12" s="33" t="str">
        <f>IF(ISNUMBER(FIND(" ± ", 'results new format'!K12)), LEFT('results new format'!K12, FIND(" ± ", 'results new format'!K12) - 2), 'results new format'!K12)</f>
        <v>446.3</v>
      </c>
      <c r="L12" s="33" t="str">
        <f>IF(ISNUMBER(FIND(" ± ", 'results new format'!L12)), LEFT('results new format'!L12, FIND(" ± ", 'results new format'!L12) - 2), 'results new format'!L12)</f>
        <v>91.9</v>
      </c>
    </row>
    <row r="13" spans="4:12" x14ac:dyDescent="0.25">
      <c r="D13" t="str">
        <f>IF(ISNUMBER(FIND("±", 'results new format'!D13)), LEFT('results new format'!D13, FIND("±", 'results new format'!D13) - 1), 'results new format'!D13)</f>
        <v>colorballs-11-2</v>
      </c>
      <c r="E13" s="32" t="str">
        <f>IF(ISNUMBER(FIND(" ± ", 'results new format'!E13)), LEFT('results new format'!E13, FIND(" ± ", 'results new format'!E13) - 2), 'results new format'!E13)</f>
        <v>822.1</v>
      </c>
      <c r="F13" s="32" t="str">
        <f>IF(ISNUMBER(FIND(" ± ", 'results new format'!F13)), LEFT('results new format'!F13, FIND(" ± ", 'results new format'!F13) - 2), 'results new format'!F13)</f>
        <v>205.8</v>
      </c>
      <c r="G13" s="33">
        <f>IF(ISNUMBER(FIND(" ± ", 'results new format'!G13)), LEFT('results new format'!G13, FIND(" ± ", 'results new format'!G13) - 2), 'results new format'!G13)</f>
        <v>100</v>
      </c>
      <c r="H13" s="33" t="str">
        <f>IF(ISNUMBER(FIND(" ± ", 'results new format'!H13)), LEFT('results new format'!H13, FIND(" ± ", 'results new format'!H13) - 2), 'results new format'!H13)</f>
        <v>892.9</v>
      </c>
      <c r="I13" s="33" t="str">
        <f>IF(ISNUMBER(FIND(" ± ", 'results new format'!I13)), LEFT('results new format'!I13, FIND(" ± ", 'results new format'!I13) - 2), 'results new format'!I13)</f>
        <v>223.0</v>
      </c>
      <c r="J13" s="33">
        <f>IF(ISNUMBER(FIND(" ± ", 'results new format'!J13)), LEFT('results new format'!J13, FIND(" ± ", 'results new format'!J13) - 2), 'results new format'!J13)</f>
        <v>100</v>
      </c>
      <c r="K13" s="33" t="str">
        <f>IF(ISNUMBER(FIND(" ± ", 'results new format'!K13)), LEFT('results new format'!K13, FIND(" ± ", 'results new format'!K13) - 2), 'results new format'!K13)</f>
        <v>914.7</v>
      </c>
      <c r="L13" s="33" t="str">
        <f>IF(ISNUMBER(FIND(" ± ", 'results new format'!L13)), LEFT('results new format'!L13, FIND(" ± ", 'results new format'!L13) - 2), 'results new format'!L13)</f>
        <v>211.0</v>
      </c>
    </row>
    <row r="14" spans="4:12" x14ac:dyDescent="0.25">
      <c r="D14" t="str">
        <f>IF(ISNUMBER(FIND("±", 'results new format'!D14)), LEFT('results new format'!D14, FIND("±", 'results new format'!D14) - 1), 'results new format'!D14)</f>
        <v>cloghuge</v>
      </c>
      <c r="E14" s="33" t="str">
        <f>IF(ISNUMBER(FIND(" ± ", 'results new format'!E14)), LEFT('results new format'!E14, FIND(" ± ", 'results new format'!E14) - 2), 'results new format'!E14)</f>
        <v>139.1</v>
      </c>
      <c r="F14" s="33" t="str">
        <f>IF(ISNUMBER(FIND(" ± ", 'results new format'!F14)), LEFT('results new format'!F14, FIND(" ± ", 'results new format'!F14) - 2), 'results new format'!F14)</f>
        <v>11.2</v>
      </c>
      <c r="G14" s="33">
        <f>IF(ISNUMBER(FIND(" ± ", 'results new format'!G14)), LEFT('results new format'!G14, FIND(" ± ", 'results new format'!G14) - 2), 'results new format'!G14)</f>
        <v>100</v>
      </c>
      <c r="H14" s="33" t="str">
        <f>IF(ISNUMBER(FIND(" ± ", 'results new format'!H14)), LEFT('results new format'!H14, FIND(" ± ", 'results new format'!H14) - 2), 'results new format'!H14)</f>
        <v>155.0</v>
      </c>
      <c r="I14" s="33" t="str">
        <f>IF(ISNUMBER(FIND(" ± ", 'results new format'!I14)), LEFT('results new format'!I14, FIND(" ± ", 'results new format'!I14) - 2), 'results new format'!I14)</f>
        <v>20.8</v>
      </c>
      <c r="J14" s="33">
        <f>IF(ISNUMBER(FIND(" ± ", 'results new format'!J14)), LEFT('results new format'!J14, FIND(" ± ", 'results new format'!J14) - 2), 'results new format'!J14)</f>
        <v>100</v>
      </c>
      <c r="K14" s="32" t="str">
        <f>IF(ISNUMBER(FIND(" ± ", 'results new format'!K14)), LEFT('results new format'!K14, FIND(" ± ", 'results new format'!K14) - 2), 'results new format'!K14)</f>
        <v>66.6</v>
      </c>
      <c r="L14" s="32" t="str">
        <f>IF(ISNUMBER(FIND(" ± ", 'results new format'!L14)), LEFT('results new format'!L14, FIND(" ± ", 'results new format'!L14) - 2), 'results new format'!L14)</f>
        <v>3.1</v>
      </c>
    </row>
    <row r="15" spans="4:12" x14ac:dyDescent="0.25">
      <c r="D15" t="str">
        <f>IF(ISNUMBER(FIND("±", 'results new format'!D15)), LEFT('results new format'!D15, FIND("±", 'results new format'!D15) - 1), 'results new format'!D15)</f>
        <v>blocks7</v>
      </c>
      <c r="E15" s="33" t="str">
        <f>IF(ISNUMBER(FIND(" ± ", 'results new format'!E15)), LEFT('results new format'!E15, FIND(" ± ", 'results new format'!E15) - 2), 'results new format'!E15)</f>
        <v>27.6</v>
      </c>
      <c r="F15" s="33" t="str">
        <f>IF(ISNUMBER(FIND(" ± ", 'results new format'!F15)), LEFT('results new format'!F15, FIND(" ± ", 'results new format'!F15) - 2), 'results new format'!F15)</f>
        <v>0.3</v>
      </c>
      <c r="G15" s="33">
        <f>IF(ISNUMBER(FIND(" ± ", 'results new format'!G15)), LEFT('results new format'!G15, FIND(" ± ", 'results new format'!G15) - 2), 'results new format'!G15)</f>
        <v>100</v>
      </c>
      <c r="H15" s="33" t="str">
        <f>IF(ISNUMBER(FIND(" ± ", 'results new format'!H15)), LEFT('results new format'!H15, FIND(" ± ", 'results new format'!H15) - 2), 'results new format'!H15)</f>
        <v>23.9</v>
      </c>
      <c r="I15" s="33" t="str">
        <f>IF(ISNUMBER(FIND(" ± ", 'results new format'!I15)), LEFT('results new format'!I15, FIND(" ± ", 'results new format'!I15) - 2), 'results new format'!I15)</f>
        <v>0.3</v>
      </c>
      <c r="J15" s="33">
        <f>IF(ISNUMBER(FIND(" ± ", 'results new format'!J15)), LEFT('results new format'!J15, FIND(" ± ", 'results new format'!J15) - 2), 'results new format'!J15)</f>
        <v>100</v>
      </c>
      <c r="K15" s="32" t="str">
        <f>IF(ISNUMBER(FIND(" ± ", 'results new format'!K15)), LEFT('results new format'!K15, FIND(" ± ", 'results new format'!K15) - 2), 'results new format'!K15)</f>
        <v>11.2</v>
      </c>
      <c r="L15" s="32" t="str">
        <f>IF(ISNUMBER(FIND(" ± ", 'results new format'!L15)), LEFT('results new format'!L15, FIND(" ± ", 'results new format'!L15) - 2), 'results new format'!L15)</f>
        <v>0.1</v>
      </c>
    </row>
    <row r="16" spans="4:12" x14ac:dyDescent="0.25">
      <c r="D16" t="str">
        <f>IF(ISNUMBER(FIND("±", 'results new format'!D16)), LEFT('results new format'!D16, FIND("±", 'results new format'!D16) - 1), 'results new format'!D16)</f>
        <v>unix2</v>
      </c>
      <c r="E16" s="33" t="str">
        <f>IF(ISNUMBER(FIND(" ± ", 'results new format'!E16)), LEFT('results new format'!E16, FIND(" ± ", 'results new format'!E16) - 2), 'results new format'!E16)</f>
        <v>178.4</v>
      </c>
      <c r="F16" s="33" t="str">
        <f>IF(ISNUMBER(FIND(" ± ", 'results new format'!F16)), LEFT('results new format'!F16, FIND(" ± ", 'results new format'!F16) - 2), 'results new format'!F16)</f>
        <v>4.5</v>
      </c>
      <c r="G16" s="33">
        <f>IF(ISNUMBER(FIND(" ± ", 'results new format'!G16)), LEFT('results new format'!G16, FIND(" ± ", 'results new format'!G16) - 2), 'results new format'!G16)</f>
        <v>100</v>
      </c>
      <c r="H16" s="33" t="str">
        <f>IF(ISNUMBER(FIND(" ± ", 'results new format'!H16)), LEFT('results new format'!H16, FIND(" ± ", 'results new format'!H16) - 2), 'results new format'!H16)</f>
        <v>186.4</v>
      </c>
      <c r="I16" s="33" t="str">
        <f>IF(ISNUMBER(FIND(" ± ", 'results new format'!I16)), LEFT('results new format'!I16, FIND(" ± ", 'results new format'!I16) - 2), 'results new format'!I16)</f>
        <v>6.9</v>
      </c>
      <c r="J16" s="33">
        <f>IF(ISNUMBER(FIND(" ± ", 'results new format'!J16)), LEFT('results new format'!J16, FIND(" ± ", 'results new format'!J16) - 2), 'results new format'!J16)</f>
        <v>100</v>
      </c>
      <c r="K16" s="32" t="str">
        <f>IF(ISNUMBER(FIND(" ± ", 'results new format'!K16)), LEFT('results new format'!K16, FIND(" ± ", 'results new format'!K16) - 2), 'results new format'!K16)</f>
        <v>45.7</v>
      </c>
      <c r="L16" s="32" t="str">
        <f>IF(ISNUMBER(FIND(" ± ", 'results new format'!L16)), LEFT('results new format'!L16, FIND(" ± ", 'results new format'!L16) - 2), 'results new format'!L16)</f>
        <v>0.4</v>
      </c>
    </row>
    <row r="17" spans="4:16" x14ac:dyDescent="0.25">
      <c r="D17" t="str">
        <f>IF(ISNUMBER(FIND("±", 'results new format'!D17)), LEFT('results new format'!D17, FIND("±", 'results new format'!D17) - 1), 'results new format'!D17)</f>
        <v>unix3</v>
      </c>
      <c r="E17" s="33" t="str">
        <f>IF(ISNUMBER(FIND(" ± ", 'results new format'!E17)), LEFT('results new format'!E17, FIND(" ± ", 'results new format'!E17) - 2), 'results new format'!E17)</f>
        <v>677.7</v>
      </c>
      <c r="F17" s="33" t="str">
        <f>IF(ISNUMBER(FIND(" ± ", 'results new format'!F17)), LEFT('results new format'!F17, FIND(" ± ", 'results new format'!F17) - 2), 'results new format'!F17)</f>
        <v>170.3</v>
      </c>
      <c r="G17" s="33">
        <f>IF(ISNUMBER(FIND(" ± ", 'results new format'!G17)), LEFT('results new format'!G17, FIND(" ± ", 'results new format'!G17) - 2), 'results new format'!G17)</f>
        <v>100</v>
      </c>
      <c r="H17" s="33" t="str">
        <f>IF(ISNUMBER(FIND(" ± ", 'results new format'!H17)), LEFT('results new format'!H17, FIND(" ± ", 'results new format'!H17) - 2), 'results new format'!H17)</f>
        <v>696.4</v>
      </c>
      <c r="I17" s="33" t="str">
        <f>IF(ISNUMBER(FIND(" ± ", 'results new format'!I17)), LEFT('results new format'!I17, FIND(" ± ", 'results new format'!I17) - 2), 'results new format'!I17)</f>
        <v>278.0</v>
      </c>
      <c r="J17" s="33">
        <f>IF(ISNUMBER(FIND(" ± ", 'results new format'!J17)), LEFT('results new format'!J17, FIND(" ± ", 'results new format'!J17) - 2), 'results new format'!J17)</f>
        <v>100</v>
      </c>
      <c r="K17" s="32" t="str">
        <f>IF(ISNUMBER(FIND(" ± ", 'results new format'!K17)), LEFT('results new format'!K17, FIND(" ± ", 'results new format'!K17) - 2), 'results new format'!K17)</f>
        <v>151.1</v>
      </c>
      <c r="L17" s="32" t="str">
        <f>IF(ISNUMBER(FIND(" ± ", 'results new format'!L17)), LEFT('results new format'!L17, FIND(" ± ", 'results new format'!L17) - 2), 'results new format'!L17)</f>
        <v>7.4</v>
      </c>
    </row>
    <row r="18" spans="4:16" x14ac:dyDescent="0.25">
      <c r="D18" t="str">
        <f>IF(ISNUMBER(FIND("±", 'results new format'!D18)), LEFT('results new format'!D18, FIND("±", 'results new format'!D18) - 1), 'results new format'!D18)</f>
        <v>wumpus10</v>
      </c>
      <c r="E18" s="33" t="str">
        <f>IF(ISNUMBER(FIND(" ± ", 'results new format'!E18)), LEFT('results new format'!E18, FIND(" ± ", 'results new format'!E18) - 2), 'results new format'!E18)</f>
        <v>111.7</v>
      </c>
      <c r="F18" s="33" t="str">
        <f>IF(ISNUMBER(FIND(" ± ", 'results new format'!F18)), LEFT('results new format'!F18, FIND(" ± ", 'results new format'!F18) - 2), 'results new format'!F18)</f>
        <v>5.0</v>
      </c>
      <c r="G18" s="33">
        <f>IF(ISNUMBER(FIND(" ± ", 'results new format'!G18)), LEFT('results new format'!G18, FIND(" ± ", 'results new format'!G18) - 2), 'results new format'!G18)</f>
        <v>100</v>
      </c>
      <c r="H18" s="33" t="str">
        <f>IF(ISNUMBER(FIND(" ± ", 'results new format'!H18)), LEFT('results new format'!H18, FIND(" ± ", 'results new format'!H18) - 2), 'results new format'!H18)</f>
        <v>112.7</v>
      </c>
      <c r="I18" s="33" t="str">
        <f>IF(ISNUMBER(FIND(" ± ", 'results new format'!I18)), LEFT('results new format'!I18, FIND(" ± ", 'results new format'!I18) - 2), 'results new format'!I18)</f>
        <v>5.9</v>
      </c>
      <c r="J18" s="33">
        <f>IF(ISNUMBER(FIND(" ± ", 'results new format'!J18)), LEFT('results new format'!J18, FIND(" ± ", 'results new format'!J18) - 2), 'results new format'!J18)</f>
        <v>100</v>
      </c>
      <c r="K18" s="32" t="str">
        <f>IF(ISNUMBER(FIND(" ± ", 'results new format'!K18)), LEFT('results new format'!K18, FIND(" ± ", 'results new format'!K18) - 2), 'results new format'!K18)</f>
        <v>65.8</v>
      </c>
      <c r="L18" s="32" t="str">
        <f>IF(ISNUMBER(FIND(" ± ", 'results new format'!L18)), LEFT('results new format'!L18, FIND(" ± ", 'results new format'!L18) - 2), 'results new format'!L18)</f>
        <v>1.6</v>
      </c>
    </row>
    <row r="19" spans="4:16" x14ac:dyDescent="0.25">
      <c r="D19" t="str">
        <f>IF(ISNUMBER(FIND("±", 'results new format'!D19)), LEFT('results new format'!D19, FIND("±", 'results new format'!D19) - 1), 'results new format'!D19)</f>
        <v>wumpus15</v>
      </c>
      <c r="E19" s="33" t="str">
        <f>IF(ISNUMBER(FIND(" ± ", 'results new format'!E19)), LEFT('results new format'!E19, FIND(" ± ", 'results new format'!E19) - 2), 'results new format'!E19)</f>
        <v>177.4</v>
      </c>
      <c r="F19" s="33" t="str">
        <f>IF(ISNUMBER(FIND(" ± ", 'results new format'!F19)), LEFT('results new format'!F19, FIND(" ± ", 'results new format'!F19) - 2), 'results new format'!F19)</f>
        <v>34.9</v>
      </c>
      <c r="G19" s="33">
        <f>IF(ISNUMBER(FIND(" ± ", 'results new format'!G19)), LEFT('results new format'!G19, FIND(" ± ", 'results new format'!G19) - 2), 'results new format'!G19)</f>
        <v>100</v>
      </c>
      <c r="H19" s="33" t="str">
        <f>IF(ISNUMBER(FIND(" ± ", 'results new format'!H19)), LEFT('results new format'!H19, FIND(" ± ", 'results new format'!H19) - 2), 'results new format'!H19)</f>
        <v>178.4</v>
      </c>
      <c r="I19" s="33" t="str">
        <f>IF(ISNUMBER(FIND(" ± ", 'results new format'!I19)), LEFT('results new format'!I19, FIND(" ± ", 'results new format'!I19) - 2), 'results new format'!I19)</f>
        <v>44.0</v>
      </c>
      <c r="J19" s="33">
        <f>IF(ISNUMBER(FIND(" ± ", 'results new format'!J19)), LEFT('results new format'!J19, FIND(" ± ", 'results new format'!J19) - 2), 'results new format'!J19)</f>
        <v>100</v>
      </c>
      <c r="K19" s="32" t="str">
        <f>IF(ISNUMBER(FIND(" ± ", 'results new format'!K19)), LEFT('results new format'!K19, FIND(" ± ", 'results new format'!K19) - 2), 'results new format'!K19)</f>
        <v>127.9</v>
      </c>
      <c r="L19" s="32" t="str">
        <f>IF(ISNUMBER(FIND(" ± ", 'results new format'!L19)), LEFT('results new format'!L19, FIND(" ± ", 'results new format'!L19) - 2), 'results new format'!L19)</f>
        <v>16.2</v>
      </c>
    </row>
    <row r="20" spans="4:16" x14ac:dyDescent="0.25">
      <c r="D20">
        <f>IF(ISNUMBER(FIND("±", 'results new format'!D20)), LEFT('results new format'!D20, FIND("±", 'results new format'!D20) - 1), 'results new format'!D20)</f>
        <v>0</v>
      </c>
    </row>
    <row r="22" spans="4:16" ht="15.75" thickBot="1" x14ac:dyDescent="0.3"/>
    <row r="23" spans="4:16" ht="15.75" thickBot="1" x14ac:dyDescent="0.3">
      <c r="D23" s="217" t="s">
        <v>42</v>
      </c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9"/>
    </row>
    <row r="24" spans="4:16" x14ac:dyDescent="0.25">
      <c r="D24" s="222" t="s">
        <v>31</v>
      </c>
      <c r="E24" s="220" t="s">
        <v>46</v>
      </c>
      <c r="F24" s="221"/>
      <c r="G24" s="221"/>
      <c r="H24" s="214" t="s">
        <v>34</v>
      </c>
      <c r="I24" s="216"/>
      <c r="J24" s="215"/>
      <c r="K24" s="216" t="s">
        <v>32</v>
      </c>
      <c r="L24" s="216"/>
      <c r="M24" s="215"/>
      <c r="N24" s="216" t="s">
        <v>41</v>
      </c>
      <c r="O24" s="216"/>
      <c r="P24" s="215"/>
    </row>
    <row r="25" spans="4:16" ht="15.75" thickBot="1" x14ac:dyDescent="0.3">
      <c r="D25" s="223"/>
      <c r="E25" s="4" t="s">
        <v>47</v>
      </c>
      <c r="F25" s="15" t="s">
        <v>48</v>
      </c>
      <c r="G25" s="15" t="s">
        <v>49</v>
      </c>
      <c r="H25" s="4" t="s">
        <v>47</v>
      </c>
      <c r="I25" s="15" t="s">
        <v>48</v>
      </c>
      <c r="J25" s="7" t="s">
        <v>49</v>
      </c>
      <c r="K25" s="15" t="s">
        <v>47</v>
      </c>
      <c r="L25" s="15" t="s">
        <v>48</v>
      </c>
      <c r="M25" s="7" t="s">
        <v>49</v>
      </c>
      <c r="N25" s="15" t="s">
        <v>47</v>
      </c>
      <c r="O25" s="15" t="s">
        <v>48</v>
      </c>
      <c r="P25" s="7" t="s">
        <v>49</v>
      </c>
    </row>
    <row r="26" spans="4:16" x14ac:dyDescent="0.25">
      <c r="D26" s="2" t="s">
        <v>35</v>
      </c>
      <c r="E26" s="33" t="str">
        <f>IF(ISNUMBER(FIND(" ± ", 'results new format'!E26)), LEFT('results new format'!E26, FIND(" ± ", 'results new format'!E26) - 2), 'results new format'!E26)</f>
        <v>94.3</v>
      </c>
      <c r="F26" s="33" t="str">
        <f>IF(ISNUMBER(FIND(" ± ", 'results new format'!F26)), LEFT('results new format'!F26, FIND(" ± ", 'results new format'!F26) - 2), 'results new format'!F26)</f>
        <v>0.7</v>
      </c>
      <c r="G26" s="33">
        <f>IF(ISNUMBER(FIND(" ± ", 'results new format'!G26)), LEFT('results new format'!G26, FIND(" ± ", 'results new format'!G26) - 2), 'results new format'!G26)</f>
        <v>100</v>
      </c>
      <c r="H26" s="33" t="str">
        <f>IF(ISNUMBER(FIND(" ± ", 'results new format'!H26)), LEFT('results new format'!H26, FIND(" ± ", 'results new format'!H26) - 2), 'results new format'!H26)</f>
        <v>138.9</v>
      </c>
      <c r="I26" s="33" t="str">
        <f>IF(ISNUMBER(FIND(" ± ", 'results new format'!I26)), LEFT('results new format'!I26, FIND(" ± ", 'results new format'!I26) - 2), 'results new format'!I26)</f>
        <v>2.1</v>
      </c>
      <c r="J26" s="33">
        <f>IF(ISNUMBER(FIND(" ± ", 'results new format'!J26)), LEFT('results new format'!J26, FIND(" ± ", 'results new format'!J26) - 2), 'results new format'!J26)</f>
        <v>100</v>
      </c>
      <c r="K26" s="33" t="str">
        <f>IF(ISNUMBER(FIND(" ± ", 'results new format'!K26)), LEFT('results new format'!K26, FIND(" ± ", 'results new format'!K26) - 2), 'results new format'!K26)</f>
        <v>97.1</v>
      </c>
      <c r="L26" s="33" t="str">
        <f>IF(ISNUMBER(FIND(" ± ", 'results new format'!L26)), LEFT('results new format'!L26, FIND(" ± ", 'results new format'!L26) - 2), 'results new format'!L26)</f>
        <v>1.2</v>
      </c>
      <c r="M26" s="33">
        <f>IF(ISNUMBER(FIND(" ± ", 'results new format'!M26)), LEFT('results new format'!M26, FIND(" ± ", 'results new format'!M26) - 2), 'results new format'!M26)</f>
        <v>100</v>
      </c>
      <c r="N26" s="33" t="str">
        <f>IF(ISNUMBER(FIND(" ± ", 'results new format'!N26)), LEFT('results new format'!N26, FIND(" ± ", 'results new format'!N26) - 2), 'results new format'!N26)</f>
        <v>66.0</v>
      </c>
      <c r="O26" s="33" t="str">
        <f>IF(ISNUMBER(FIND(" ± ", 'results new format'!O26)), LEFT('results new format'!O26, FIND(" ± ", 'results new format'!O26) - 2), 'results new format'!O26)</f>
        <v>0.8</v>
      </c>
      <c r="P26" s="33">
        <f>IF(ISNUMBER(FIND(" ± ", 'results new format'!P26)), LEFT('results new format'!P26, FIND(" ± ", 'results new format'!P26) - 2), 'results new format'!P26)</f>
        <v>8</v>
      </c>
    </row>
    <row r="27" spans="4:16" x14ac:dyDescent="0.25">
      <c r="D27" s="3" t="s">
        <v>36</v>
      </c>
      <c r="E27" s="33" t="str">
        <f>IF(ISNUMBER(FIND(" ± ", 'results new format'!E27)), LEFT('results new format'!E27, FIND(" ± ", 'results new format'!E27) - 2), 'results new format'!E27)</f>
        <v>107.6</v>
      </c>
      <c r="F27" s="33" t="str">
        <f>IF(ISNUMBER(FIND(" ± ", 'results new format'!F27)), LEFT('results new format'!F27, FIND(" ± ", 'results new format'!F27) - 2), 'results new format'!F27)</f>
        <v>1.4</v>
      </c>
      <c r="G27" s="33">
        <f>IF(ISNUMBER(FIND(" ± ", 'results new format'!G27)), LEFT('results new format'!G27, FIND(" ± ", 'results new format'!G27) - 2), 'results new format'!G27)</f>
        <v>100</v>
      </c>
      <c r="H27" s="33" t="str">
        <f>IF(ISNUMBER(FIND(" ± ", 'results new format'!H27)), LEFT('results new format'!H27, FIND(" ± ", 'results new format'!H27) - 2), 'results new format'!H27)</f>
        <v>144.9</v>
      </c>
      <c r="I27" s="33" t="str">
        <f>IF(ISNUMBER(FIND(" ± ", 'results new format'!I27)), LEFT('results new format'!I27, FIND(" ± ", 'results new format'!I27) - 2), 'results new format'!I27)</f>
        <v>3.8</v>
      </c>
      <c r="J27" s="33">
        <f>IF(ISNUMBER(FIND(" ± ", 'results new format'!J27)), LEFT('results new format'!J27, FIND(" ± ", 'results new format'!J27) - 2), 'results new format'!J27)</f>
        <v>100</v>
      </c>
      <c r="K27" s="33" t="str">
        <f>IF(ISNUMBER(FIND(" ± ", 'results new format'!K27)), LEFT('results new format'!K27, FIND(" ± ", 'results new format'!K27) - 2), 'results new format'!K27)</f>
        <v>104.5</v>
      </c>
      <c r="L27" s="33" t="str">
        <f>IF(ISNUMBER(FIND(" ± ", 'results new format'!L27)), LEFT('results new format'!L27, FIND(" ± ", 'results new format'!L27) - 2), 'results new format'!L27)</f>
        <v>2.2</v>
      </c>
      <c r="M27" s="33">
        <f>IF(ISNUMBER(FIND(" ± ", 'results new format'!M27)), LEFT('results new format'!M27, FIND(" ± ", 'results new format'!M27) - 2), 'results new format'!M27)</f>
        <v>100</v>
      </c>
      <c r="N27" s="33" t="str">
        <f>IF(ISNUMBER(FIND(" ± ", 'results new format'!N27)), LEFT('results new format'!N27, FIND(" ± ", 'results new format'!N27) - 2), 'results new format'!N27)</f>
        <v>57.5</v>
      </c>
      <c r="O27" s="33" t="str">
        <f>IF(ISNUMBER(FIND(" ± ", 'results new format'!O27)), LEFT('results new format'!O27, FIND(" ± ", 'results new format'!O27) - 2), 'results new format'!O27)</f>
        <v>0.8</v>
      </c>
      <c r="P27" s="33">
        <f>IF(ISNUMBER(FIND(" ± ", 'results new format'!P27)), LEFT('results new format'!P27, FIND(" ± ", 'results new format'!P27) - 2), 'results new format'!P27)</f>
        <v>4</v>
      </c>
    </row>
    <row r="28" spans="4:16" ht="15.75" thickBot="1" x14ac:dyDescent="0.3">
      <c r="D28" s="4" t="s">
        <v>37</v>
      </c>
      <c r="E28" s="33" t="str">
        <f>IF(ISNUMBER(FIND(" ± ", 'results new format'!E28)), LEFT('results new format'!E28, FIND(" ± ", 'results new format'!E28) - 2), 'results new format'!E28)</f>
        <v>164.5</v>
      </c>
      <c r="F28" s="33" t="str">
        <f>IF(ISNUMBER(FIND(" ± ", 'results new format'!F28)), LEFT('results new format'!F28, FIND(" ± ", 'results new format'!F28) - 2), 'results new format'!F28)</f>
        <v>3.7</v>
      </c>
      <c r="G28" s="33">
        <f>IF(ISNUMBER(FIND(" ± ", 'results new format'!G28)), LEFT('results new format'!G28, FIND(" ± ", 'results new format'!G28) - 2), 'results new format'!G28)</f>
        <v>100</v>
      </c>
      <c r="H28" s="33" t="str">
        <f>IF(ISNUMBER(FIND(" ± ", 'results new format'!H28)), LEFT('results new format'!H28, FIND(" ± ", 'results new format'!H28) - 2), 'results new format'!H28)</f>
        <v>251.2</v>
      </c>
      <c r="I28" s="33" t="str">
        <f>IF(ISNUMBER(FIND(" ± ", 'results new format'!I28)), LEFT('results new format'!I28, FIND(" ± ", 'results new format'!I28) - 2), 'results new format'!I28)</f>
        <v>11.3</v>
      </c>
      <c r="J28" s="33">
        <f>IF(ISNUMBER(FIND(" ± ", 'results new format'!J28)), LEFT('results new format'!J28, FIND(" ± ", 'results new format'!J28) - 2), 'results new format'!J28)</f>
        <v>100</v>
      </c>
      <c r="K28" s="33" t="str">
        <f>IF(ISNUMBER(FIND(" ± ", 'results new format'!K28)), LEFT('results new format'!K28, FIND(" ± ", 'results new format'!K28) - 2), 'results new format'!K28)</f>
        <v>177.5</v>
      </c>
      <c r="L28" s="33" t="str">
        <f>IF(ISNUMBER(FIND(" ± ", 'results new format'!L28)), LEFT('results new format'!L28, FIND(" ± ", 'results new format'!L28) - 2), 'results new format'!L28)</f>
        <v>6.1</v>
      </c>
      <c r="M28" s="33">
        <f>IF(ISNUMBER(FIND(" ± ", 'results new format'!M28)), LEFT('results new format'!M28, FIND(" ± ", 'results new format'!M28) - 2), 'results new format'!M28)</f>
        <v>100</v>
      </c>
      <c r="N28" s="33" t="str">
        <f>IF(ISNUMBER(FIND(" ± ", 'results new format'!N28)), LEFT('results new format'!N28, FIND(" ± ", 'results new format'!N28) - 2), 'results new format'!N28)</f>
        <v>150.5</v>
      </c>
      <c r="O28" s="33" t="str">
        <f>IF(ISNUMBER(FIND(" ± ", 'results new format'!O28)), LEFT('results new format'!O28, FIND(" ± ", 'results new format'!O28) - 2), 'results new format'!O28)</f>
        <v>5.1</v>
      </c>
      <c r="P28" s="33">
        <f>IF(ISNUMBER(FIND(" ± ", 'results new format'!P28)), LEFT('results new format'!P28, FIND(" ± ", 'results new format'!P28) - 2), 'results new format'!P28)</f>
        <v>4</v>
      </c>
    </row>
    <row r="29" spans="4:16" x14ac:dyDescent="0.25">
      <c r="D29" s="3" t="s">
        <v>38</v>
      </c>
      <c r="E29" s="33" t="str">
        <f>IF(ISNUMBER(FIND(" ± ", 'results new format'!E29)), LEFT('results new format'!E29, FIND(" ± ", 'results new format'!E29) - 2), 'results new format'!E29)</f>
        <v>694.5</v>
      </c>
      <c r="F29" s="33" t="str">
        <f>IF(ISNUMBER(FIND(" ± ", 'results new format'!F29)), LEFT('results new format'!F29, FIND(" ± ", 'results new format'!F29) - 2), 'results new format'!F29)</f>
        <v>53.9</v>
      </c>
      <c r="G29" s="33">
        <f>IF(ISNUMBER(FIND(" ± ", 'results new format'!G29)), LEFT('results new format'!G29, FIND(" ± ", 'results new format'!G29) - 2), 'results new format'!G29)</f>
        <v>100</v>
      </c>
      <c r="H29" s="33" t="str">
        <f>IF(ISNUMBER(FIND(" ± ", 'results new format'!H29)), LEFT('results new format'!H29, FIND(" ± ", 'results new format'!H29) - 2), 'results new format'!H29)</f>
        <v>770.5</v>
      </c>
      <c r="I29" s="33" t="str">
        <f>IF(ISNUMBER(FIND(" ± ", 'results new format'!I29)), LEFT('results new format'!I29, FIND(" ± ", 'results new format'!I29) - 2), 'results new format'!I29)</f>
        <v>59.2</v>
      </c>
      <c r="J29" s="33">
        <f>IF(ISNUMBER(FIND(" ± ", 'results new format'!J29)), LEFT('results new format'!J29, FIND(" ± ", 'results new format'!J29) - 2), 'results new format'!J29)</f>
        <v>100</v>
      </c>
      <c r="K29" s="33" t="str">
        <f>IF(ISNUMBER(FIND(" ± ", 'results new format'!K29)), LEFT('results new format'!K29, FIND(" ± ", 'results new format'!K29) - 2), 'results new format'!K29)</f>
        <v>736.4</v>
      </c>
      <c r="L29" s="33" t="str">
        <f>IF(ISNUMBER(FIND(" ± ", 'results new format'!L29)), LEFT('results new format'!L29, FIND(" ± ", 'results new format'!L29) - 2), 'results new format'!L29)</f>
        <v>55.7</v>
      </c>
      <c r="M29" s="33">
        <f>IF(ISNUMBER(FIND(" ± ", 'results new format'!M29)), LEFT('results new format'!M29, FIND(" ± ", 'results new format'!M29) - 2), 'results new format'!M29)</f>
        <v>100</v>
      </c>
      <c r="N29" s="33" t="str">
        <f>IF(ISNUMBER(FIND(" ± ", 'results new format'!N29)), LEFT('results new format'!N29, FIND(" ± ", 'results new format'!N29) - 2), 'results new format'!N29)</f>
        <v>758.6</v>
      </c>
      <c r="O29" s="33" t="str">
        <f>IF(ISNUMBER(FIND(" ± ", 'results new format'!O29)), LEFT('results new format'!O29, FIND(" ± ", 'results new format'!O29) - 2), 'results new format'!O29)</f>
        <v>60.5</v>
      </c>
      <c r="P29" s="33">
        <f>IF(ISNUMBER(FIND(" ± ", 'results new format'!P29)), LEFT('results new format'!P29, FIND(" ± ", 'results new format'!P29) - 2), 'results new format'!P29)</f>
        <v>72</v>
      </c>
    </row>
    <row r="30" spans="4:16" x14ac:dyDescent="0.25">
      <c r="D30" s="3" t="s">
        <v>39</v>
      </c>
      <c r="E30" s="33" t="str">
        <f>IF(ISNUMBER(FIND(" ± ", 'results new format'!E30)), LEFT('results new format'!E30, FIND(" ± ", 'results new format'!E30) - 2), 'results new format'!E30)</f>
        <v>454.6</v>
      </c>
      <c r="F30" s="33" t="str">
        <f>IF(ISNUMBER(FIND(" ± ", 'results new format'!F30)), LEFT('results new format'!F30, FIND(" ± ", 'results new format'!F30) - 2), 'results new format'!F30)</f>
        <v>72.5</v>
      </c>
      <c r="G30" s="33">
        <f>IF(ISNUMBER(FIND(" ± ", 'results new format'!G30)), LEFT('results new format'!G30, FIND(" ± ", 'results new format'!G30) - 2), 'results new format'!G30)</f>
        <v>100</v>
      </c>
      <c r="H30" s="33" t="str">
        <f>IF(ISNUMBER(FIND(" ± ", 'results new format'!H30)), LEFT('results new format'!H30, FIND(" ± ", 'results new format'!H30) - 2), 'results new format'!H30)</f>
        <v>500.4</v>
      </c>
      <c r="I30" s="33" t="str">
        <f>IF(ISNUMBER(FIND(" ± ", 'results new format'!I30)), LEFT('results new format'!I30, FIND(" ± ", 'results new format'!I30) - 2), 'results new format'!I30)</f>
        <v>84.3</v>
      </c>
      <c r="J30" s="33">
        <f>IF(ISNUMBER(FIND(" ± ", 'results new format'!J30)), LEFT('results new format'!J30, FIND(" ± ", 'results new format'!J30) - 2), 'results new format'!J30)</f>
        <v>100</v>
      </c>
      <c r="K30" s="33" t="str">
        <f>IF(ISNUMBER(FIND(" ± ", 'results new format'!K30)), LEFT('results new format'!K30, FIND(" ± ", 'results new format'!K30) - 2), 'results new format'!K30)</f>
        <v>475.9</v>
      </c>
      <c r="L30" s="33" t="str">
        <f>IF(ISNUMBER(FIND(" ± ", 'results new format'!L30)), LEFT('results new format'!L30, FIND(" ± ", 'results new format'!L30) - 2), 'results new format'!L30)</f>
        <v>77.4</v>
      </c>
      <c r="M30" s="33">
        <f>IF(ISNUMBER(FIND(" ± ", 'results new format'!M30)), LEFT('results new format'!M30, FIND(" ± ", 'results new format'!M30) - 2), 'results new format'!M30)</f>
        <v>100</v>
      </c>
      <c r="N30" s="33" t="str">
        <f>IF(ISNUMBER(FIND(" ± ", 'results new format'!N30)), LEFT('results new format'!N30, FIND(" ± ", 'results new format'!N30) - 2), 'results new format'!N30)</f>
        <v>473.3</v>
      </c>
      <c r="O30" s="33" t="str">
        <f>IF(ISNUMBER(FIND(" ± ", 'results new format'!O30)), LEFT('results new format'!O30, FIND(" ± ", 'results new format'!O30) - 2), 'results new format'!O30)</f>
        <v>74.6</v>
      </c>
      <c r="P30" s="33">
        <f>IF(ISNUMBER(FIND(" ± ", 'results new format'!P30)), LEFT('results new format'!P30, FIND(" ± ", 'results new format'!P30) - 2), 'results new format'!P30)</f>
        <v>76</v>
      </c>
    </row>
    <row r="31" spans="4:16" ht="15.75" thickBot="1" x14ac:dyDescent="0.3">
      <c r="D31" s="4" t="s">
        <v>40</v>
      </c>
      <c r="E31" s="33" t="str">
        <f>IF(ISNUMBER(FIND(" ± ", 'results new format'!E31)), LEFT('results new format'!E31, FIND(" ± ", 'results new format'!E31) - 2), 'results new format'!E31)</f>
        <v>858.9</v>
      </c>
      <c r="F31" s="33" t="str">
        <f>IF(ISNUMBER(FIND(" ± ", 'results new format'!F31)), LEFT('results new format'!F31, FIND(" ± ", 'results new format'!F31) - 2), 'results new format'!F31)</f>
        <v>156.4</v>
      </c>
      <c r="G31" s="33">
        <f>IF(ISNUMBER(FIND(" ± ", 'results new format'!G31)), LEFT('results new format'!G31, FIND(" ± ", 'results new format'!G31) - 2), 'results new format'!G31)</f>
        <v>100</v>
      </c>
      <c r="H31" s="33" t="str">
        <f>IF(ISNUMBER(FIND(" ± ", 'results new format'!H31)), LEFT('results new format'!H31, FIND(" ± ", 'results new format'!H31) - 2), 'results new format'!H31)</f>
        <v>912.3</v>
      </c>
      <c r="I31" s="33" t="str">
        <f>IF(ISNUMBER(FIND(" ± ", 'results new format'!I31)), LEFT('results new format'!I31, FIND(" ± ", 'results new format'!I31) - 2), 'results new format'!I31)</f>
        <v>167.4</v>
      </c>
      <c r="J31" s="33">
        <f>IF(ISNUMBER(FIND(" ± ", 'results new format'!J31)), LEFT('results new format'!J31, FIND(" ± ", 'results new format'!J31) - 2), 'results new format'!J31)</f>
        <v>100</v>
      </c>
      <c r="K31" s="33" t="str">
        <f>IF(ISNUMBER(FIND(" ± ", 'results new format'!K31)), LEFT('results new format'!K31, FIND(" ± ", 'results new format'!K31) - 2), 'results new format'!K31)</f>
        <v>872.9</v>
      </c>
      <c r="L31" s="33" t="str">
        <f>IF(ISNUMBER(FIND(" ± ", 'results new format'!L31)), LEFT('results new format'!L31, FIND(" ± ", 'results new format'!L31) - 2), 'results new format'!L31)</f>
        <v>160.3</v>
      </c>
      <c r="M31" s="33">
        <f>IF(ISNUMBER(FIND(" ± ", 'results new format'!M31)), LEFT('results new format'!M31, FIND(" ± ", 'results new format'!M31) - 2), 'results new format'!M31)</f>
        <v>100</v>
      </c>
      <c r="N31" s="33" t="str">
        <f>IF(ISNUMBER(FIND(" ± ", 'results new format'!N31)), LEFT('results new format'!N31, FIND(" ± ", 'results new format'!N31) - 2), 'results new format'!N31)</f>
        <v>874.3</v>
      </c>
      <c r="O31" s="33" t="str">
        <f>IF(ISNUMBER(FIND(" ± ", 'results new format'!O31)), LEFT('results new format'!O31, FIND(" ± ", 'results new format'!O31) - 2), 'results new format'!O31)</f>
        <v>165.5</v>
      </c>
      <c r="P31" s="33">
        <f>IF(ISNUMBER(FIND(" ± ", 'results new format'!P31)), LEFT('results new format'!P31, FIND(" ± ", 'results new format'!P31) - 2), 'results new format'!P31)</f>
        <v>70</v>
      </c>
    </row>
    <row r="32" spans="4:16" ht="15.75" thickBot="1" x14ac:dyDescent="0.3">
      <c r="D32" s="3" t="s">
        <v>11</v>
      </c>
      <c r="E32" s="33" t="str">
        <f>IF(ISNUMBER(FIND(" ± ", 'results new format'!E32)), LEFT('results new format'!E32, FIND(" ± ", 'results new format'!E32) - 2), 'results new format'!E32)</f>
        <v>143.5</v>
      </c>
      <c r="F32" s="33" t="str">
        <f>IF(ISNUMBER(FIND(" ± ", 'results new format'!F32)), LEFT('results new format'!F32, FIND(" ± ", 'results new format'!F32) - 2), 'results new format'!F32)</f>
        <v>14.4</v>
      </c>
      <c r="G32" s="33">
        <f>IF(ISNUMBER(FIND(" ± ", 'results new format'!G32)), LEFT('results new format'!G32, FIND(" ± ", 'results new format'!G32) - 2), 'results new format'!G32)</f>
        <v>100</v>
      </c>
      <c r="H32" s="33" t="str">
        <f>IF(ISNUMBER(FIND(" ± ", 'results new format'!H32)), LEFT('results new format'!H32, FIND(" ± ", 'results new format'!H32) - 2), 'results new format'!H32)</f>
        <v>143.5</v>
      </c>
      <c r="I32" s="33" t="str">
        <f>IF(ISNUMBER(FIND(" ± ", 'results new format'!I32)), LEFT('results new format'!I32, FIND(" ± ", 'results new format'!I32) - 2), 'results new format'!I32)</f>
        <v>24.7</v>
      </c>
      <c r="J32" s="33">
        <f>IF(ISNUMBER(FIND(" ± ", 'results new format'!J32)), LEFT('results new format'!J32, FIND(" ± ", 'results new format'!J32) - 2), 'results new format'!J32)</f>
        <v>100</v>
      </c>
      <c r="K32" s="33" t="str">
        <f>IF(ISNUMBER(FIND(" ± ", 'results new format'!K32)), LEFT('results new format'!K32, FIND(" ± ", 'results new format'!K32) - 2), 'results new format'!K32)</f>
        <v>93.9</v>
      </c>
      <c r="L32" s="33" t="str">
        <f>IF(ISNUMBER(FIND(" ± ", 'results new format'!L32)), LEFT('results new format'!L32, FIND(" ± ", 'results new format'!L32) - 2), 'results new format'!L32)</f>
        <v>10.4</v>
      </c>
      <c r="M32" s="33">
        <f>IF(ISNUMBER(FIND(" ± ", 'results new format'!M32)), LEFT('results new format'!M32, FIND(" ± ", 'results new format'!M32) - 2), 'results new format'!M32)</f>
        <v>100</v>
      </c>
      <c r="N32" s="33" t="str">
        <f>IF(ISNUMBER(FIND(" ± ", 'results new format'!N32)), LEFT('results new format'!N32, FIND(" ± ", 'results new format'!N32) - 2), 'results new format'!N32)</f>
        <v>61.6</v>
      </c>
      <c r="O32" s="33" t="str">
        <f>IF(ISNUMBER(FIND(" ± ", 'results new format'!O32)), LEFT('results new format'!O32, FIND(" ± ", 'results new format'!O32) - 2), 'results new format'!O32)</f>
        <v>2.7</v>
      </c>
      <c r="P32" s="33">
        <f>IF(ISNUMBER(FIND(" ± ", 'results new format'!P32)), LEFT('results new format'!P32, FIND(" ± ", 'results new format'!P32) - 2), 'results new format'!P32)</f>
        <v>44</v>
      </c>
    </row>
    <row r="33" spans="4:16" ht="15.75" thickBot="1" x14ac:dyDescent="0.3">
      <c r="D33" s="8" t="s">
        <v>8</v>
      </c>
      <c r="E33" s="33" t="str">
        <f>IF(ISNUMBER(FIND(" ± ", 'results new format'!E33)), LEFT('results new format'!E33, FIND(" ± ", 'results new format'!E33) - 2), 'results new format'!E33)</f>
        <v>28.3</v>
      </c>
      <c r="F33" s="33" t="str">
        <f>IF(ISNUMBER(FIND(" ± ", 'results new format'!F33)), LEFT('results new format'!F33, FIND(" ± ", 'results new format'!F33) - 2), 'results new format'!F33)</f>
        <v>0.6</v>
      </c>
      <c r="G33" s="33">
        <f>IF(ISNUMBER(FIND(" ± ", 'results new format'!G33)), LEFT('results new format'!G33, FIND(" ± ", 'results new format'!G33) - 2), 'results new format'!G33)</f>
        <v>100</v>
      </c>
      <c r="H33" s="33" t="str">
        <f>IF(ISNUMBER(FIND(" ± ", 'results new format'!H33)), LEFT('results new format'!H33, FIND(" ± ", 'results new format'!H33) - 2), 'results new format'!H33)</f>
        <v>23.8</v>
      </c>
      <c r="I33" s="33" t="str">
        <f>IF(ISNUMBER(FIND(" ± ", 'results new format'!I33)), LEFT('results new format'!I33, FIND(" ± ", 'results new format'!I33) - 2), 'results new format'!I33)</f>
        <v>0.5</v>
      </c>
      <c r="J33" s="33">
        <f>IF(ISNUMBER(FIND(" ± ", 'results new format'!J33)), LEFT('results new format'!J33, FIND(" ± ", 'results new format'!J33) - 2), 'results new format'!J33)</f>
        <v>100</v>
      </c>
      <c r="K33" s="33" t="str">
        <f>IF(ISNUMBER(FIND(" ± ", 'results new format'!K33)), LEFT('results new format'!K33, FIND(" ± ", 'results new format'!K33) - 2), 'results new format'!K33)</f>
        <v>9.4</v>
      </c>
      <c r="L33" s="33" t="str">
        <f>IF(ISNUMBER(FIND(" ± ", 'results new format'!L33)), LEFT('results new format'!L33, FIND(" ± ", 'results new format'!L33) - 2), 'results new format'!L33)</f>
        <v>0.2</v>
      </c>
      <c r="M33" s="33">
        <f>IF(ISNUMBER(FIND(" ± ", 'results new format'!M33)), LEFT('results new format'!M33, FIND(" ± ", 'results new format'!M33) - 2), 'results new format'!M33)</f>
        <v>100</v>
      </c>
      <c r="N33" s="33" t="str">
        <f>IF(ISNUMBER(FIND(" ± ", 'results new format'!N33)), LEFT('results new format'!N33, FIND(" ± ", 'results new format'!N33) - 2), 'results new format'!N33)</f>
        <v>9.4</v>
      </c>
      <c r="O33" s="33" t="str">
        <f>IF(ISNUMBER(FIND(" ± ", 'results new format'!O33)), LEFT('results new format'!O33, FIND(" ± ", 'results new format'!O33) - 2), 'results new format'!O33)</f>
        <v>0.2</v>
      </c>
      <c r="P33" s="33">
        <f>IF(ISNUMBER(FIND(" ± ", 'results new format'!P33)), LEFT('results new format'!P33, FIND(" ± ", 'results new format'!P33) - 2), 'results new format'!P33)</f>
        <v>100</v>
      </c>
    </row>
    <row r="34" spans="4:16" x14ac:dyDescent="0.25">
      <c r="D34" s="2" t="s">
        <v>4</v>
      </c>
      <c r="E34" s="33" t="str">
        <f>IF(ISNUMBER(FIND(" ± ", 'results new format'!E34)), LEFT('results new format'!E34, FIND(" ± ", 'results new format'!E34) - 2), 'results new format'!E34)</f>
        <v>176.4</v>
      </c>
      <c r="F34" s="33" t="str">
        <f>IF(ISNUMBER(FIND(" ± ", 'results new format'!F34)), LEFT('results new format'!F34, FIND(" ± ", 'results new format'!F34) - 2), 'results new format'!F34)</f>
        <v>3.6</v>
      </c>
      <c r="G34" s="33">
        <f>IF(ISNUMBER(FIND(" ± ", 'results new format'!G34)), LEFT('results new format'!G34, FIND(" ± ", 'results new format'!G34) - 2), 'results new format'!G34)</f>
        <v>84</v>
      </c>
      <c r="H34" s="33" t="str">
        <f>IF(ISNUMBER(FIND(" ± ", 'results new format'!H34)), LEFT('results new format'!H34, FIND(" ± ", 'results new format'!H34) - 2), 'results new format'!H34)</f>
        <v>193.3</v>
      </c>
      <c r="I34" s="33" t="str">
        <f>IF(ISNUMBER(FIND(" ± ", 'results new format'!I34)), LEFT('results new format'!I34, FIND(" ± ", 'results new format'!I34) - 2), 'results new format'!I34)</f>
        <v>5.5</v>
      </c>
      <c r="J34" s="33">
        <f>IF(ISNUMBER(FIND(" ± ", 'results new format'!J34)), LEFT('results new format'!J34, FIND(" ± ", 'results new format'!J34) - 2), 'results new format'!J34)</f>
        <v>100</v>
      </c>
      <c r="K34" s="33" t="str">
        <f>IF(ISNUMBER(FIND(" ± ", 'results new format'!K34)), LEFT('results new format'!K34, FIND(" ± ", 'results new format'!K34) - 2), 'results new format'!K34)</f>
        <v>61.3</v>
      </c>
      <c r="L34" s="33" t="str">
        <f>IF(ISNUMBER(FIND(" ± ", 'results new format'!L34)), LEFT('results new format'!L34, FIND(" ± ", 'results new format'!L34) - 2), 'results new format'!L34)</f>
        <v>1.2</v>
      </c>
      <c r="M34" s="33">
        <f>IF(ISNUMBER(FIND(" ± ", 'results new format'!M34)), LEFT('results new format'!M34, FIND(" ± ", 'results new format'!M34) - 2), 'results new format'!M34)</f>
        <v>100</v>
      </c>
      <c r="N34" s="33" t="str">
        <f>IF(ISNUMBER(FIND(" ± ", 'results new format'!N34)), LEFT('results new format'!N34, FIND(" ± ", 'results new format'!N34) - 2), 'results new format'!N34)</f>
        <v>39.6</v>
      </c>
      <c r="O34" s="33" t="str">
        <f>IF(ISNUMBER(FIND(" ± ", 'results new format'!O34)), LEFT('results new format'!O34, FIND(" ± ", 'results new format'!O34) - 2), 'results new format'!O34)</f>
        <v>0.8</v>
      </c>
      <c r="P34" s="33">
        <f>IF(ISNUMBER(FIND(" ± ", 'results new format'!P34)), LEFT('results new format'!P34, FIND(" ± ", 'results new format'!P34) - 2), 'results new format'!P34)</f>
        <v>92</v>
      </c>
    </row>
    <row r="35" spans="4:16" ht="15.75" thickBot="1" x14ac:dyDescent="0.3">
      <c r="D35" s="4" t="s">
        <v>5</v>
      </c>
      <c r="E35" s="33" t="str">
        <f>IF(ISNUMBER(FIND(" ± ", 'results new format'!E35)), LEFT('results new format'!E35, FIND(" ± ", 'results new format'!E35) - 2), 'results new format'!E35)</f>
        <v>690.7</v>
      </c>
      <c r="F35" s="33" t="str">
        <f>IF(ISNUMBER(FIND(" ± ", 'results new format'!F35)), LEFT('results new format'!F35, FIND(" ± ", 'results new format'!F35) - 2), 'results new format'!F35)</f>
        <v>171.8</v>
      </c>
      <c r="G35" s="33">
        <f>IF(ISNUMBER(FIND(" ± ", 'results new format'!G35)), LEFT('results new format'!G35, FIND(" ± ", 'results new format'!G35) - 2), 'results new format'!G35)</f>
        <v>98</v>
      </c>
      <c r="H35" s="33" t="str">
        <f>IF(ISNUMBER(FIND(" ± ", 'results new format'!H35)), LEFT('results new format'!H35, FIND(" ± ", 'results new format'!H35) - 2), 'results new format'!H35)</f>
        <v>691.3</v>
      </c>
      <c r="I35" s="33" t="str">
        <f>IF(ISNUMBER(FIND(" ± ", 'results new format'!I35)), LEFT('results new format'!I35, FIND(" ± ", 'results new format'!I35) - 2), 'results new format'!I35)</f>
        <v>231.9</v>
      </c>
      <c r="J35" s="33">
        <f>IF(ISNUMBER(FIND(" ± ", 'results new format'!J35)), LEFT('results new format'!J35, FIND(" ± ", 'results new format'!J35) - 2), 'results new format'!J35)</f>
        <v>100</v>
      </c>
      <c r="K35" s="33" t="str">
        <f>IF(ISNUMBER(FIND(" ± ", 'results new format'!K35)), LEFT('results new format'!K35, FIND(" ± ", 'results new format'!K35) - 2), 'results new format'!K35)</f>
        <v>226.2</v>
      </c>
      <c r="L35" s="33" t="str">
        <f>IF(ISNUMBER(FIND(" ± ", 'results new format'!L35)), LEFT('results new format'!L35, FIND(" ± ", 'results new format'!L35) - 2), 'results new format'!L35)</f>
        <v>47.7</v>
      </c>
      <c r="M35" s="33">
        <f>IF(ISNUMBER(FIND(" ± ", 'results new format'!M35)), LEFT('results new format'!M35, FIND(" ± ", 'results new format'!M35) - 2), 'results new format'!M35)</f>
        <v>100</v>
      </c>
      <c r="N35" s="33" t="str">
        <f>IF(ISNUMBER(FIND(" ± ", 'results new format'!N35)), LEFT('results new format'!N35, FIND(" ± ", 'results new format'!N35) - 2), 'results new format'!N35)</f>
        <v>216.1</v>
      </c>
      <c r="O35" s="33" t="str">
        <f>IF(ISNUMBER(FIND(" ± ", 'results new format'!O35)), LEFT('results new format'!O35, FIND(" ± ", 'results new format'!O35) - 2), 'results new format'!O35)</f>
        <v>60.3</v>
      </c>
      <c r="P35" s="33">
        <f>IF(ISNUMBER(FIND(" ± ", 'results new format'!P35)), LEFT('results new format'!P35, FIND(" ± ", 'results new format'!P35) - 2), 'results new format'!P35)</f>
        <v>90</v>
      </c>
    </row>
    <row r="36" spans="4:16" x14ac:dyDescent="0.25">
      <c r="D36" s="2" t="s">
        <v>13</v>
      </c>
      <c r="E36" s="33" t="str">
        <f>IF(ISNUMBER(FIND(" ± ", 'results new format'!E36)), LEFT('results new format'!E36, FIND(" ± ", 'results new format'!E36) - 2), 'results new format'!E36)</f>
        <v>98.4</v>
      </c>
      <c r="F36" s="33" t="str">
        <f>IF(ISNUMBER(FIND(" ± ", 'results new format'!F36)), LEFT('results new format'!F36, FIND(" ± ", 'results new format'!F36) - 2), 'results new format'!F36)</f>
        <v>3.7</v>
      </c>
      <c r="G36" s="33">
        <f>IF(ISNUMBER(FIND(" ± ", 'results new format'!G36)), LEFT('results new format'!G36, FIND(" ± ", 'results new format'!G36) - 2), 'results new format'!G36)</f>
        <v>100</v>
      </c>
      <c r="H36" s="33" t="str">
        <f>IF(ISNUMBER(FIND(" ± ", 'results new format'!H36)), LEFT('results new format'!H36, FIND(" ± ", 'results new format'!H36) - 2), 'results new format'!H36)</f>
        <v>99.4</v>
      </c>
      <c r="I36" s="33" t="str">
        <f>IF(ISNUMBER(FIND(" ± ", 'results new format'!I36)), LEFT('results new format'!I36, FIND(" ± ", 'results new format'!I36) - 2), 'results new format'!I36)</f>
        <v>3.8</v>
      </c>
      <c r="J36" s="33">
        <f>IF(ISNUMBER(FIND(" ± ", 'results new format'!J36)), LEFT('results new format'!J36, FIND(" ± ", 'results new format'!J36) - 2), 'results new format'!J36)</f>
        <v>100</v>
      </c>
      <c r="K36" s="33" t="str">
        <f>IF(ISNUMBER(FIND(" ± ", 'results new format'!K36)), LEFT('results new format'!K36, FIND(" ± ", 'results new format'!K36) - 2), 'results new format'!K36)</f>
        <v>45.6</v>
      </c>
      <c r="L36" s="33" t="str">
        <f>IF(ISNUMBER(FIND(" ± ", 'results new format'!L36)), LEFT('results new format'!L36, FIND(" ± ", 'results new format'!L36) - 2), 'results new format'!L36)</f>
        <v>1.0</v>
      </c>
      <c r="M36" s="33">
        <f>IF(ISNUMBER(FIND(" ± ", 'results new format'!M36)), LEFT('results new format'!M36, FIND(" ± ", 'results new format'!M36) - 2), 'results new format'!M36)</f>
        <v>100</v>
      </c>
      <c r="N36" s="33" t="str">
        <f>IF(ISNUMBER(FIND(" ± ", 'results new format'!N36)), LEFT('results new format'!N36, FIND(" ± ", 'results new format'!N36) - 2), 'results new format'!N36)</f>
        <v>45.3</v>
      </c>
      <c r="O36" s="33" t="str">
        <f>IF(ISNUMBER(FIND(" ± ", 'results new format'!O36)), LEFT('results new format'!O36, FIND(" ± ", 'results new format'!O36) - 2), 'results new format'!O36)</f>
        <v>1.0</v>
      </c>
      <c r="P36" s="33">
        <f>IF(ISNUMBER(FIND(" ± ", 'results new format'!P36)), LEFT('results new format'!P36, FIND(" ± ", 'results new format'!P36) - 2), 'results new format'!P36)</f>
        <v>92</v>
      </c>
    </row>
    <row r="37" spans="4:16" ht="15.75" thickBot="1" x14ac:dyDescent="0.3">
      <c r="D37" s="4" t="s">
        <v>14</v>
      </c>
      <c r="E37" s="33" t="str">
        <f>IF(ISNUMBER(FIND(" ± ", 'results new format'!E37)), LEFT('results new format'!E37, FIND(" ± ", 'results new format'!E37) - 2), 'results new format'!E37)</f>
        <v>195.0</v>
      </c>
      <c r="F37" s="33" t="str">
        <f>IF(ISNUMBER(FIND(" ± ", 'results new format'!F37)), LEFT('results new format'!F37, FIND(" ± ", 'results new format'!F37) - 2), 'results new format'!F37)</f>
        <v>33.0</v>
      </c>
      <c r="G37" s="33">
        <f>IF(ISNUMBER(FIND(" ± ", 'results new format'!G37)), LEFT('results new format'!G37, FIND(" ± ", 'results new format'!G37) - 2), 'results new format'!G37)</f>
        <v>100</v>
      </c>
      <c r="H37" s="33" t="str">
        <f>IF(ISNUMBER(FIND(" ± ", 'results new format'!H37)), LEFT('results new format'!H37, FIND(" ± ", 'results new format'!H37) - 2), 'results new format'!H37)</f>
        <v>196.0</v>
      </c>
      <c r="I37" s="33" t="str">
        <f>IF(ISNUMBER(FIND(" ± ", 'results new format'!I37)), LEFT('results new format'!I37, FIND(" ± ", 'results new format'!I37) - 2), 'results new format'!I37)</f>
        <v>32.0</v>
      </c>
      <c r="J37" s="33">
        <f>IF(ISNUMBER(FIND(" ± ", 'results new format'!J37)), LEFT('results new format'!J37, FIND(" ± ", 'results new format'!J37) - 2), 'results new format'!J37)</f>
        <v>100</v>
      </c>
      <c r="K37" s="33" t="str">
        <f>IF(ISNUMBER(FIND(" ± ", 'results new format'!K37)), LEFT('results new format'!K37, FIND(" ± ", 'results new format'!K37) - 2), 'results new format'!K37)</f>
        <v>75.1</v>
      </c>
      <c r="L37" s="33" t="str">
        <f>IF(ISNUMBER(FIND(" ± ", 'results new format'!L37)), LEFT('results new format'!L37, FIND(" ± ", 'results new format'!L37) - 2), 'results new format'!L37)</f>
        <v>9.0</v>
      </c>
      <c r="M37" s="33">
        <f>IF(ISNUMBER(FIND(" ± ", 'results new format'!M37)), LEFT('results new format'!M37, FIND(" ± ", 'results new format'!M37) - 2), 'results new format'!M37)</f>
        <v>100</v>
      </c>
      <c r="N37" s="33" t="str">
        <f>IF(ISNUMBER(FIND(" ± ", 'results new format'!N37)), LEFT('results new format'!N37, FIND(" ± ", 'results new format'!N37) - 2), 'results new format'!N37)</f>
        <v>72.3</v>
      </c>
      <c r="O37" s="33" t="str">
        <f>IF(ISNUMBER(FIND(" ± ", 'results new format'!O37)), LEFT('results new format'!O37, FIND(" ± ", 'results new format'!O37) - 2), 'results new format'!O37)</f>
        <v>9.9</v>
      </c>
      <c r="P37" s="33">
        <f>IF(ISNUMBER(FIND(" ± ", 'results new format'!P37)), LEFT('results new format'!P37, FIND(" ± ", 'results new format'!P37) - 2), 'results new format'!P37)</f>
        <v>94</v>
      </c>
    </row>
    <row r="40" spans="4:16" ht="15.75" thickBot="1" x14ac:dyDescent="0.3"/>
    <row r="41" spans="4:16" ht="15.75" thickBot="1" x14ac:dyDescent="0.3">
      <c r="D41" s="217" t="s">
        <v>208</v>
      </c>
      <c r="E41" s="218"/>
      <c r="F41" s="218"/>
      <c r="G41" s="218"/>
      <c r="H41" s="218"/>
      <c r="I41" s="218"/>
      <c r="J41" s="218"/>
      <c r="K41" s="218"/>
      <c r="L41" s="218"/>
      <c r="M41" s="219"/>
    </row>
    <row r="42" spans="4:16" x14ac:dyDescent="0.25">
      <c r="D42" s="222" t="s">
        <v>31</v>
      </c>
      <c r="E42" s="220" t="s">
        <v>46</v>
      </c>
      <c r="F42" s="221"/>
      <c r="G42" s="221"/>
      <c r="H42" s="214" t="s">
        <v>32</v>
      </c>
      <c r="I42" s="216"/>
      <c r="J42" s="215"/>
      <c r="K42" s="216" t="s">
        <v>41</v>
      </c>
      <c r="L42" s="216"/>
      <c r="M42" s="215"/>
    </row>
    <row r="43" spans="4:16" ht="15.75" thickBot="1" x14ac:dyDescent="0.3">
      <c r="D43" s="223"/>
      <c r="E43" s="4" t="s">
        <v>47</v>
      </c>
      <c r="F43" s="15" t="s">
        <v>48</v>
      </c>
      <c r="G43" s="15" t="s">
        <v>49</v>
      </c>
      <c r="H43" s="4" t="s">
        <v>47</v>
      </c>
      <c r="I43" s="15" t="s">
        <v>48</v>
      </c>
      <c r="J43" s="7" t="s">
        <v>49</v>
      </c>
      <c r="K43" s="15" t="s">
        <v>47</v>
      </c>
      <c r="L43" s="15" t="s">
        <v>48</v>
      </c>
      <c r="M43" s="7" t="s">
        <v>49</v>
      </c>
    </row>
    <row r="44" spans="4:16" x14ac:dyDescent="0.25">
      <c r="D44" s="2" t="s">
        <v>35</v>
      </c>
      <c r="E44" s="33" t="str">
        <f>IF(ISNUMBER(FIND(" ± ", 'results new format'!E44)), LEFT('results new format'!E44, FIND(" ± ", 'results new format'!E44) - 2), 'results new format'!E44)</f>
        <v>94.4</v>
      </c>
      <c r="F44" s="33" t="str">
        <f>IF(ISNUMBER(FIND(" ± ", 'results new format'!F44)), LEFT('results new format'!F44, FIND(" ± ", 'results new format'!F44) - 2), 'results new format'!F44)</f>
        <v>0.8</v>
      </c>
      <c r="G44" s="33">
        <f>IF(ISNUMBER(FIND(" ± ", 'results new format'!G44)), LEFT('results new format'!G44, FIND(" ± ", 'results new format'!G44) - 2), 'results new format'!G44)</f>
        <v>100</v>
      </c>
      <c r="H44" s="33" t="str">
        <f>IF(ISNUMBER(FIND(" ± ", 'results new format'!H44)), LEFT('results new format'!H44, FIND(" ± ", 'results new format'!H44) - 2), 'results new format'!H44)</f>
        <v>91.4</v>
      </c>
      <c r="I44" s="33" t="str">
        <f>IF(ISNUMBER(FIND(" ± ", 'results new format'!I44)), LEFT('results new format'!I44, FIND(" ± ", 'results new format'!I44) - 2), 'results new format'!I44)</f>
        <v>1.1</v>
      </c>
      <c r="J44" s="33">
        <f>IF(ISNUMBER(FIND(" ± ", 'results new format'!J44)), LEFT('results new format'!J44, FIND(" ± ", 'results new format'!J44) - 2), 'results new format'!J44)</f>
        <v>100</v>
      </c>
      <c r="K44" s="33" t="str">
        <f>IF(ISNUMBER(FIND(" ± ", 'results new format'!K44)), LEFT('results new format'!K44, FIND(" ± ", 'results new format'!K44) - 2), 'results new format'!K44)</f>
        <v>129.2</v>
      </c>
      <c r="L44" s="33" t="str">
        <f>IF(ISNUMBER(FIND(" ± ", 'results new format'!L44)), LEFT('results new format'!L44, FIND(" ± ", 'results new format'!L44) - 2), 'results new format'!L44)</f>
        <v>1.1</v>
      </c>
      <c r="M44" s="33">
        <f>IF(ISNUMBER(FIND(" ± ", 'results new format'!M44)), LEFT('results new format'!M44, FIND(" ± ", 'results new format'!M44) - 2), 'results new format'!M44)</f>
        <v>10</v>
      </c>
    </row>
    <row r="45" spans="4:16" x14ac:dyDescent="0.25">
      <c r="D45" s="3" t="s">
        <v>36</v>
      </c>
      <c r="E45" s="33" t="str">
        <f>IF(ISNUMBER(FIND(" ± ", 'results new format'!E45)), LEFT('results new format'!E45, FIND(" ± ", 'results new format'!E45) - 2), 'results new format'!E45)</f>
        <v>102.7</v>
      </c>
      <c r="F45" s="33" t="str">
        <f>IF(ISNUMBER(FIND(" ± ", 'results new format'!F45)), LEFT('results new format'!F45, FIND(" ± ", 'results new format'!F45) - 2), 'results new format'!F45)</f>
        <v>1.4</v>
      </c>
      <c r="G45" s="33">
        <f>IF(ISNUMBER(FIND(" ± ", 'results new format'!G45)), LEFT('results new format'!G45, FIND(" ± ", 'results new format'!G45) - 2), 'results new format'!G45)</f>
        <v>100</v>
      </c>
      <c r="H45" s="33" t="str">
        <f>IF(ISNUMBER(FIND(" ± ", 'results new format'!H45)), LEFT('results new format'!H45, FIND(" ± ", 'results new format'!H45) - 2), 'results new format'!H45)</f>
        <v>104.8</v>
      </c>
      <c r="I45" s="33" t="str">
        <f>IF(ISNUMBER(FIND(" ± ", 'results new format'!I45)), LEFT('results new format'!I45, FIND(" ± ", 'results new format'!I45) - 2), 'results new format'!I45)</f>
        <v>2.0</v>
      </c>
      <c r="J45" s="33">
        <f>IF(ISNUMBER(FIND(" ± ", 'results new format'!J45)), LEFT('results new format'!J45, FIND(" ± ", 'results new format'!J45) - 2), 'results new format'!J45)</f>
        <v>100</v>
      </c>
      <c r="K45" s="33" t="str">
        <f>IF(ISNUMBER(FIND(" ± ", 'results new format'!K45)), LEFT('results new format'!K45, FIND(" ± ", 'results new format'!K45) - 2), 'results new format'!K45)</f>
        <v>79.8</v>
      </c>
      <c r="L45" s="33" t="str">
        <f>IF(ISNUMBER(FIND(" ± ", 'results new format'!L45)), LEFT('results new format'!L45, FIND(" ± ", 'results new format'!L45) - 2), 'results new format'!L45)</f>
        <v>1.5</v>
      </c>
      <c r="M45" s="33">
        <f>IF(ISNUMBER(FIND(" ± ", 'results new format'!M45)), LEFT('results new format'!M45, FIND(" ± ", 'results new format'!M45) - 2), 'results new format'!M45)</f>
        <v>12</v>
      </c>
    </row>
    <row r="46" spans="4:16" ht="15.75" thickBot="1" x14ac:dyDescent="0.3">
      <c r="D46" s="4" t="s">
        <v>37</v>
      </c>
      <c r="E46" s="33">
        <f>IF(ISNUMBER(FIND(" ± ", 'results new format'!E46)), LEFT('results new format'!E46, FIND(" ± ", 'results new format'!E46) - 2), 'results new format'!E46)</f>
        <v>0</v>
      </c>
      <c r="F46" s="33">
        <f>IF(ISNUMBER(FIND(" ± ", 'results new format'!F46)), LEFT('results new format'!F46, FIND(" ± ", 'results new format'!F46) - 2), 'results new format'!F46)</f>
        <v>0</v>
      </c>
      <c r="G46" s="33">
        <f>IF(ISNUMBER(FIND(" ± ", 'results new format'!G46)), LEFT('results new format'!G46, FIND(" ± ", 'results new format'!G46) - 2), 'results new format'!G46)</f>
        <v>0</v>
      </c>
      <c r="H46" s="33">
        <f>IF(ISNUMBER(FIND(" ± ", 'results new format'!H46)), LEFT('results new format'!H46, FIND(" ± ", 'results new format'!H46) - 2), 'results new format'!H46)</f>
        <v>0</v>
      </c>
      <c r="I46" s="33">
        <f>IF(ISNUMBER(FIND(" ± ", 'results new format'!I46)), LEFT('results new format'!I46, FIND(" ± ", 'results new format'!I46) - 2), 'results new format'!I46)</f>
        <v>0</v>
      </c>
      <c r="J46" s="33">
        <f>IF(ISNUMBER(FIND(" ± ", 'results new format'!J46)), LEFT('results new format'!J46, FIND(" ± ", 'results new format'!J46) - 2), 'results new format'!J46)</f>
        <v>0</v>
      </c>
      <c r="K46" s="33">
        <f>IF(ISNUMBER(FIND(" ± ", 'results new format'!K46)), LEFT('results new format'!K46, FIND(" ± ", 'results new format'!K46) - 2), 'results new format'!K46)</f>
        <v>0</v>
      </c>
      <c r="L46" s="33">
        <f>IF(ISNUMBER(FIND(" ± ", 'results new format'!L46)), LEFT('results new format'!L46, FIND(" ± ", 'results new format'!L46) - 2), 'results new format'!L46)</f>
        <v>0</v>
      </c>
      <c r="M46" s="33">
        <f>IF(ISNUMBER(FIND(" ± ", 'results new format'!M46)), LEFT('results new format'!M46, FIND(" ± ", 'results new format'!M46) - 2), 'results new format'!M46)</f>
        <v>0</v>
      </c>
    </row>
    <row r="47" spans="4:16" x14ac:dyDescent="0.25">
      <c r="D47" s="3" t="s">
        <v>38</v>
      </c>
      <c r="E47" s="33" t="str">
        <f>IF(ISNUMBER(FIND(" ± ", 'results new format'!E47)), LEFT('results new format'!E47, FIND(" ± ", 'results new format'!E47) - 2), 'results new format'!E47)</f>
        <v>715.7</v>
      </c>
      <c r="F47" s="33" t="str">
        <f>IF(ISNUMBER(FIND(" ± ", 'results new format'!F47)), LEFT('results new format'!F47, FIND(" ± ", 'results new format'!F47) - 2), 'results new format'!F47)</f>
        <v>52.5</v>
      </c>
      <c r="G47" s="33">
        <f>IF(ISNUMBER(FIND(" ± ", 'results new format'!G47)), LEFT('results new format'!G47, FIND(" ± ", 'results new format'!G47) - 2), 'results new format'!G47)</f>
        <v>100</v>
      </c>
      <c r="H47" s="33" t="str">
        <f>IF(ISNUMBER(FIND(" ± ", 'results new format'!H47)), LEFT('results new format'!H47, FIND(" ± ", 'results new format'!H47) - 2), 'results new format'!H47)</f>
        <v>727.5</v>
      </c>
      <c r="I47" s="33" t="str">
        <f>IF(ISNUMBER(FIND(" ± ", 'results new format'!I47)), LEFT('results new format'!I47, FIND(" ± ", 'results new format'!I47) - 2), 'results new format'!I47)</f>
        <v>53.7</v>
      </c>
      <c r="J47" s="33">
        <f>IF(ISNUMBER(FIND(" ± ", 'results new format'!J47)), LEFT('results new format'!J47, FIND(" ± ", 'results new format'!J47) - 2), 'results new format'!J47)</f>
        <v>100</v>
      </c>
      <c r="K47" s="33" t="str">
        <f>IF(ISNUMBER(FIND(" ± ", 'results new format'!K47)), LEFT('results new format'!K47, FIND(" ± ", 'results new format'!K47) - 2), 'results new format'!K47)</f>
        <v>725.6</v>
      </c>
      <c r="L47" s="33" t="str">
        <f>IF(ISNUMBER(FIND(" ± ", 'results new format'!L47)), LEFT('results new format'!L47, FIND(" ± ", 'results new format'!L47) - 2), 'results new format'!L47)</f>
        <v>54.7</v>
      </c>
      <c r="M47" s="33">
        <f>IF(ISNUMBER(FIND(" ± ", 'results new format'!M47)), LEFT('results new format'!M47, FIND(" ± ", 'results new format'!M47) - 2), 'results new format'!M47)</f>
        <v>72</v>
      </c>
    </row>
    <row r="48" spans="4:16" x14ac:dyDescent="0.25">
      <c r="D48" s="3" t="s">
        <v>39</v>
      </c>
      <c r="E48" s="33" t="str">
        <f>IF(ISNUMBER(FIND(" ± ", 'results new format'!E48)), LEFT('results new format'!E48, FIND(" ± ", 'results new format'!E48) - 2), 'results new format'!E48)</f>
        <v>486.8</v>
      </c>
      <c r="F48" s="33" t="str">
        <f>IF(ISNUMBER(FIND(" ± ", 'results new format'!F48)), LEFT('results new format'!F48, FIND(" ± ", 'results new format'!F48) - 2), 'results new format'!F48)</f>
        <v>75.1</v>
      </c>
      <c r="G48" s="33">
        <f>IF(ISNUMBER(FIND(" ± ", 'results new format'!G48)), LEFT('results new format'!G48, FIND(" ± ", 'results new format'!G48) - 2), 'results new format'!G48)</f>
        <v>100</v>
      </c>
      <c r="H48" s="33" t="str">
        <f>IF(ISNUMBER(FIND(" ± ", 'results new format'!H48)), LEFT('results new format'!H48, FIND(" ± ", 'results new format'!H48) - 2), 'results new format'!H48)</f>
        <v>467.2</v>
      </c>
      <c r="I48" s="33" t="str">
        <f>IF(ISNUMBER(FIND(" ± ", 'results new format'!I48)), LEFT('results new format'!I48, FIND(" ± ", 'results new format'!I48) - 2), 'results new format'!I48)</f>
        <v>75.4</v>
      </c>
      <c r="J48" s="33">
        <f>IF(ISNUMBER(FIND(" ± ", 'results new format'!J48)), LEFT('results new format'!J48, FIND(" ± ", 'results new format'!J48) - 2), 'results new format'!J48)</f>
        <v>100</v>
      </c>
      <c r="K48" s="33" t="str">
        <f>IF(ISNUMBER(FIND(" ± ", 'results new format'!K48)), LEFT('results new format'!K48, FIND(" ± ", 'results new format'!K48) - 2), 'results new format'!K48)</f>
        <v>478.9</v>
      </c>
      <c r="L48" s="33" t="str">
        <f>IF(ISNUMBER(FIND(" ± ", 'results new format'!L48)), LEFT('results new format'!L48, FIND(" ± ", 'results new format'!L48) - 2), 'results new format'!L48)</f>
        <v>82.8</v>
      </c>
      <c r="M48" s="33">
        <f>IF(ISNUMBER(FIND(" ± ", 'results new format'!M48)), LEFT('results new format'!M48, FIND(" ± ", 'results new format'!M48) - 2), 'results new format'!M48)</f>
        <v>78</v>
      </c>
    </row>
    <row r="49" spans="4:13" ht="15.75" thickBot="1" x14ac:dyDescent="0.3">
      <c r="D49" s="4" t="s">
        <v>40</v>
      </c>
      <c r="E49" s="33" t="str">
        <f>IF(ISNUMBER(FIND(" ± ", 'results new format'!E49)), LEFT('results new format'!E49, FIND(" ± ", 'results new format'!E49) - 2), 'results new format'!E49)</f>
        <v>899.5</v>
      </c>
      <c r="F49" s="33" t="str">
        <f>IF(ISNUMBER(FIND(" ± ", 'results new format'!F49)), LEFT('results new format'!F49, FIND(" ± ", 'results new format'!F49) - 2), 'results new format'!F49)</f>
        <v>157.9</v>
      </c>
      <c r="G49" s="33">
        <f>IF(ISNUMBER(FIND(" ± ", 'results new format'!G49)), LEFT('results new format'!G49, FIND(" ± ", 'results new format'!G49) - 2), 'results new format'!G49)</f>
        <v>100</v>
      </c>
      <c r="H49" s="33" t="str">
        <f>IF(ISNUMBER(FIND(" ± ", 'results new format'!H49)), LEFT('results new format'!H49, FIND(" ± ", 'results new format'!H49) - 2), 'results new format'!H49)</f>
        <v>930.2</v>
      </c>
      <c r="I49" s="33" t="str">
        <f>IF(ISNUMBER(FIND(" ± ", 'results new format'!I49)), LEFT('results new format'!I49, FIND(" ± ", 'results new format'!I49) - 2), 'results new format'!I49)</f>
        <v>170.5</v>
      </c>
      <c r="J49" s="33">
        <f>IF(ISNUMBER(FIND(" ± ", 'results new format'!J49)), LEFT('results new format'!J49, FIND(" ± ", 'results new format'!J49) - 2), 'results new format'!J49)</f>
        <v>100</v>
      </c>
      <c r="K49" s="33" t="str">
        <f>IF(ISNUMBER(FIND(" ± ", 'results new format'!K49)), LEFT('results new format'!K49, FIND(" ± ", 'results new format'!K49) - 2), 'results new format'!K49)</f>
        <v>945.4</v>
      </c>
      <c r="L49" s="33" t="str">
        <f>IF(ISNUMBER(FIND(" ± ", 'results new format'!L49)), LEFT('results new format'!L49, FIND(" ± ", 'results new format'!L49) - 2), 'results new format'!L49)</f>
        <v>181.8</v>
      </c>
      <c r="M49" s="33">
        <f>IF(ISNUMBER(FIND(" ± ", 'results new format'!M49)), LEFT('results new format'!M49, FIND(" ± ", 'results new format'!M49) - 2), 'results new format'!M49)</f>
        <v>80</v>
      </c>
    </row>
    <row r="50" spans="4:13" ht="15.75" thickBot="1" x14ac:dyDescent="0.3">
      <c r="D50" s="3" t="s">
        <v>11</v>
      </c>
      <c r="E50" s="33" t="str">
        <f>IF(ISNUMBER(FIND(" ± ", 'results new format'!E50)), LEFT('results new format'!E50, FIND(" ± ", 'results new format'!E50) - 2), 'results new format'!E50)</f>
        <v>139.4</v>
      </c>
      <c r="F50" s="33" t="str">
        <f>IF(ISNUMBER(FIND(" ± ", 'results new format'!F50)), LEFT('results new format'!F50, FIND(" ± ", 'results new format'!F50) - 2), 'results new format'!F50)</f>
        <v>12.1</v>
      </c>
      <c r="G50" s="33">
        <f>IF(ISNUMBER(FIND(" ± ", 'results new format'!G50)), LEFT('results new format'!G50, FIND(" ± ", 'results new format'!G50) - 2), 'results new format'!G50)</f>
        <v>100</v>
      </c>
      <c r="H50" s="33" t="str">
        <f>IF(ISNUMBER(FIND(" ± ", 'results new format'!H50)), LEFT('results new format'!H50, FIND(" ± ", 'results new format'!H50) - 2), 'results new format'!H50)</f>
        <v>84.5</v>
      </c>
      <c r="I50" s="33" t="str">
        <f>IF(ISNUMBER(FIND(" ± ", 'results new format'!I50)), LEFT('results new format'!I50, FIND(" ± ", 'results new format'!I50) - 2), 'results new format'!I50)</f>
        <v>6.8</v>
      </c>
      <c r="J50" s="33">
        <f>IF(ISNUMBER(FIND(" ± ", 'results new format'!J50)), LEFT('results new format'!J50, FIND(" ± ", 'results new format'!J50) - 2), 'results new format'!J50)</f>
        <v>100</v>
      </c>
      <c r="K50" s="33" t="str">
        <f>IF(ISNUMBER(FIND(" ± ", 'results new format'!K50)), LEFT('results new format'!K50, FIND(" ± ", 'results new format'!K50) - 2), 'results new format'!K50)</f>
        <v>68.2</v>
      </c>
      <c r="L50" s="33" t="str">
        <f>IF(ISNUMBER(FIND(" ± ", 'results new format'!L50)), LEFT('results new format'!L50, FIND(" ± ", 'results new format'!L50) - 2), 'results new format'!L50)</f>
        <v>3.4</v>
      </c>
      <c r="M50" s="33">
        <f>IF(ISNUMBER(FIND(" ± ", 'results new format'!M50)), LEFT('results new format'!M50, FIND(" ± ", 'results new format'!M50) - 2), 'results new format'!M50)</f>
        <v>58</v>
      </c>
    </row>
    <row r="51" spans="4:13" ht="15.75" thickBot="1" x14ac:dyDescent="0.3">
      <c r="D51" s="8" t="s">
        <v>8</v>
      </c>
      <c r="E51" s="33" t="str">
        <f>IF(ISNUMBER(FIND(" ± ", 'results new format'!E51)), LEFT('results new format'!E51, FIND(" ± ", 'results new format'!E51) - 2), 'results new format'!E51)</f>
        <v>28.4</v>
      </c>
      <c r="F51" s="33" t="str">
        <f>IF(ISNUMBER(FIND(" ± ", 'results new format'!F51)), LEFT('results new format'!F51, FIND(" ± ", 'results new format'!F51) - 2), 'results new format'!F51)</f>
        <v>1.4</v>
      </c>
      <c r="G51" s="33">
        <f>IF(ISNUMBER(FIND(" ± ", 'results new format'!G51)), LEFT('results new format'!G51, FIND(" ± ", 'results new format'!G51) - 2), 'results new format'!G51)</f>
        <v>100</v>
      </c>
      <c r="H51" s="33" t="str">
        <f>IF(ISNUMBER(FIND(" ± ", 'results new format'!H51)), LEFT('results new format'!H51, FIND(" ± ", 'results new format'!H51) - 2), 'results new format'!H51)</f>
        <v>11.7</v>
      </c>
      <c r="I51" s="33" t="str">
        <f>IF(ISNUMBER(FIND(" ± ", 'results new format'!I51)), LEFT('results new format'!I51, FIND(" ± ", 'results new format'!I51) - 2), 'results new format'!I51)</f>
        <v>0.2</v>
      </c>
      <c r="J51" s="33">
        <f>IF(ISNUMBER(FIND(" ± ", 'results new format'!J51)), LEFT('results new format'!J51, FIND(" ± ", 'results new format'!J51) - 2), 'results new format'!J51)</f>
        <v>96</v>
      </c>
      <c r="K51" s="33" t="str">
        <f>IF(ISNUMBER(FIND(" ± ", 'results new format'!K51)), LEFT('results new format'!K51, FIND(" ± ", 'results new format'!K51) - 2), 'results new format'!K51)</f>
        <v>11.7</v>
      </c>
      <c r="L51" s="33" t="str">
        <f>IF(ISNUMBER(FIND(" ± ", 'results new format'!L51)), LEFT('results new format'!L51, FIND(" ± ", 'results new format'!L51) - 2), 'results new format'!L51)</f>
        <v>0.2</v>
      </c>
      <c r="M51" s="33">
        <f>IF(ISNUMBER(FIND(" ± ", 'results new format'!M51)), LEFT('results new format'!M51, FIND(" ± ", 'results new format'!M51) - 2), 'results new format'!M51)</f>
        <v>96</v>
      </c>
    </row>
    <row r="52" spans="4:13" x14ac:dyDescent="0.25">
      <c r="D52" s="2" t="s">
        <v>4</v>
      </c>
      <c r="E52" s="33" t="str">
        <f>IF(ISNUMBER(FIND(" ± ", 'results new format'!E52)), LEFT('results new format'!E52, FIND(" ± ", 'results new format'!E52) - 2), 'results new format'!E52)</f>
        <v>172.5</v>
      </c>
      <c r="F52" s="33" t="str">
        <f>IF(ISNUMBER(FIND(" ± ", 'results new format'!F52)), LEFT('results new format'!F52, FIND(" ± ", 'results new format'!F52) - 2), 'results new format'!F52)</f>
        <v>4.4</v>
      </c>
      <c r="G52" s="33">
        <f>IF(ISNUMBER(FIND(" ± ", 'results new format'!G52)), LEFT('results new format'!G52, FIND(" ± ", 'results new format'!G52) - 2), 'results new format'!G52)</f>
        <v>100</v>
      </c>
      <c r="H52" s="33" t="str">
        <f>IF(ISNUMBER(FIND(" ± ", 'results new format'!H52)), LEFT('results new format'!H52, FIND(" ± ", 'results new format'!H52) - 2), 'results new format'!H52)</f>
        <v>77.2</v>
      </c>
      <c r="I52" s="33" t="str">
        <f>IF(ISNUMBER(FIND(" ± ", 'results new format'!I52)), LEFT('results new format'!I52, FIND(" ± ", 'results new format'!I52) - 2), 'results new format'!I52)</f>
        <v>1.8</v>
      </c>
      <c r="J52" s="33">
        <f>IF(ISNUMBER(FIND(" ± ", 'results new format'!J52)), LEFT('results new format'!J52, FIND(" ± ", 'results new format'!J52) - 2), 'results new format'!J52)</f>
        <v>100</v>
      </c>
      <c r="K52" s="33" t="str">
        <f>IF(ISNUMBER(FIND(" ± ", 'results new format'!K52)), LEFT('results new format'!K52, FIND(" ± ", 'results new format'!K52) - 2), 'results new format'!K52)</f>
        <v>51.0</v>
      </c>
      <c r="L52" s="33" t="str">
        <f>IF(ISNUMBER(FIND(" ± ", 'results new format'!L52)), LEFT('results new format'!L52, FIND(" ± ", 'results new format'!L52) - 2), 'results new format'!L52)</f>
        <v>1.0</v>
      </c>
      <c r="M52" s="33">
        <f>IF(ISNUMBER(FIND(" ± ", 'results new format'!M52)), LEFT('results new format'!M52, FIND(" ± ", 'results new format'!M52) - 2), 'results new format'!M52)</f>
        <v>72</v>
      </c>
    </row>
    <row r="53" spans="4:13" ht="15.75" thickBot="1" x14ac:dyDescent="0.3">
      <c r="D53" s="4" t="s">
        <v>5</v>
      </c>
      <c r="E53" s="33" t="str">
        <f>IF(ISNUMBER(FIND(" ± ", 'results new format'!E53)), LEFT('results new format'!E53, FIND(" ± ", 'results new format'!E53) - 2), 'results new format'!E53)</f>
        <v>690.0</v>
      </c>
      <c r="F53" s="33" t="str">
        <f>IF(ISNUMBER(FIND(" ± ", 'results new format'!F53)), LEFT('results new format'!F53, FIND(" ± ", 'results new format'!F53) - 2), 'results new format'!F53)</f>
        <v>177.2</v>
      </c>
      <c r="G53" s="33">
        <f>IF(ISNUMBER(FIND(" ± ", 'results new format'!G53)), LEFT('results new format'!G53, FIND(" ± ", 'results new format'!G53) - 2), 'results new format'!G53)</f>
        <v>98</v>
      </c>
      <c r="H53" s="33" t="str">
        <f>IF(ISNUMBER(FIND(" ± ", 'results new format'!H53)), LEFT('results new format'!H53, FIND(" ± ", 'results new format'!H53) - 2), 'results new format'!H53)</f>
        <v>255.4</v>
      </c>
      <c r="I53" s="33" t="str">
        <f>IF(ISNUMBER(FIND(" ± ", 'results new format'!I53)), LEFT('results new format'!I53, FIND(" ± ", 'results new format'!I53) - 2), 'results new format'!I53)</f>
        <v>42.0</v>
      </c>
      <c r="J53" s="33">
        <f>IF(ISNUMBER(FIND(" ± ", 'results new format'!J53)), LEFT('results new format'!J53, FIND(" ± ", 'results new format'!J53) - 2), 'results new format'!J53)</f>
        <v>100</v>
      </c>
      <c r="K53" s="33" t="str">
        <f>IF(ISNUMBER(FIND(" ± ", 'results new format'!K53)), LEFT('results new format'!K53, FIND(" ± ", 'results new format'!K53) - 2), 'results new format'!K53)</f>
        <v>184.3</v>
      </c>
      <c r="L53" s="33" t="str">
        <f>IF(ISNUMBER(FIND(" ± ", 'results new format'!L53)), LEFT('results new format'!L53, FIND(" ± ", 'results new format'!L53) - 2), 'results new format'!L53)</f>
        <v>24.5</v>
      </c>
      <c r="M53" s="33">
        <f>IF(ISNUMBER(FIND(" ± ", 'results new format'!M53)), LEFT('results new format'!M53, FIND(" ± ", 'results new format'!M53) - 2), 'results new format'!M53)</f>
        <v>84</v>
      </c>
    </row>
    <row r="54" spans="4:13" x14ac:dyDescent="0.25">
      <c r="D54" s="2" t="s">
        <v>13</v>
      </c>
      <c r="E54" s="33" t="str">
        <f>IF(ISNUMBER(FIND(" ± ", 'results new format'!E54)), LEFT('results new format'!E54, FIND(" ± ", 'results new format'!E54) - 2), 'results new format'!E54)</f>
        <v>107.9</v>
      </c>
      <c r="F54" s="33" t="str">
        <f>IF(ISNUMBER(FIND(" ± ", 'results new format'!F54)), LEFT('results new format'!F54, FIND(" ± ", 'results new format'!F54) - 2), 'results new format'!F54)</f>
        <v>4.6</v>
      </c>
      <c r="G54" s="33">
        <f>IF(ISNUMBER(FIND(" ± ", 'results new format'!G54)), LEFT('results new format'!G54, FIND(" ± ", 'results new format'!G54) - 2), 'results new format'!G54)</f>
        <v>100</v>
      </c>
      <c r="H54" s="33" t="str">
        <f>IF(ISNUMBER(FIND(" ± ", 'results new format'!H54)), LEFT('results new format'!H54, FIND(" ± ", 'results new format'!H54) - 2), 'results new format'!H54)</f>
        <v>75.5</v>
      </c>
      <c r="I54" s="33" t="str">
        <f>IF(ISNUMBER(FIND(" ± ", 'results new format'!I54)), LEFT('results new format'!I54, FIND(" ± ", 'results new format'!I54) - 2), 'results new format'!I54)</f>
        <v>1.6</v>
      </c>
      <c r="J54" s="33">
        <f>IF(ISNUMBER(FIND(" ± ", 'results new format'!J54)), LEFT('results new format'!J54, FIND(" ± ", 'results new format'!J54) - 2), 'results new format'!J54)</f>
        <v>100</v>
      </c>
      <c r="K54" s="33" t="str">
        <f>IF(ISNUMBER(FIND(" ± ", 'results new format'!K54)), LEFT('results new format'!K54, FIND(" ± ", 'results new format'!K54) - 2), 'results new format'!K54)</f>
        <v>67.9</v>
      </c>
      <c r="L54" s="33" t="str">
        <f>IF(ISNUMBER(FIND(" ± ", 'results new format'!L54)), LEFT('results new format'!L54, FIND(" ± ", 'results new format'!L54) - 2), 'results new format'!L54)</f>
        <v>1.4</v>
      </c>
      <c r="M54" s="33">
        <f>IF(ISNUMBER(FIND(" ± ", 'results new format'!M54)), LEFT('results new format'!M54, FIND(" ± ", 'results new format'!M54) - 2), 'results new format'!M54)</f>
        <v>78</v>
      </c>
    </row>
    <row r="55" spans="4:13" ht="15.75" thickBot="1" x14ac:dyDescent="0.3">
      <c r="D55" s="4" t="s">
        <v>14</v>
      </c>
      <c r="E55" s="33" t="str">
        <f>IF(ISNUMBER(FIND(" ± ", 'results new format'!E55)), LEFT('results new format'!E55, FIND(" ± ", 'results new format'!E55) - 2), 'results new format'!E55)</f>
        <v>176.6</v>
      </c>
      <c r="F55" s="33" t="str">
        <f>IF(ISNUMBER(FIND(" ± ", 'results new format'!F55)), LEFT('results new format'!F55, FIND(" ± ", 'results new format'!F55) - 2), 'results new format'!F55)</f>
        <v>27.7</v>
      </c>
      <c r="G55" s="33">
        <f>IF(ISNUMBER(FIND(" ± ", 'results new format'!G55)), LEFT('results new format'!G55, FIND(" ± ", 'results new format'!G55) - 2), 'results new format'!G55)</f>
        <v>100</v>
      </c>
      <c r="H55" s="33" t="str">
        <f>IF(ISNUMBER(FIND(" ± ", 'results new format'!H55)), LEFT('results new format'!H55, FIND(" ± ", 'results new format'!H55) - 2), 'results new format'!H55)</f>
        <v>128.3</v>
      </c>
      <c r="I55" s="33" t="str">
        <f>IF(ISNUMBER(FIND(" ± ", 'results new format'!I55)), LEFT('results new format'!I55, FIND(" ± ", 'results new format'!I55) - 2), 'results new format'!I55)</f>
        <v>11.1</v>
      </c>
      <c r="J55" s="33">
        <f>IF(ISNUMBER(FIND(" ± ", 'results new format'!J55)), LEFT('results new format'!J55, FIND(" ± ", 'results new format'!J55) - 2), 'results new format'!J55)</f>
        <v>100</v>
      </c>
      <c r="K55" s="33" t="str">
        <f>IF(ISNUMBER(FIND(" ± ", 'results new format'!K55)), LEFT('results new format'!K55, FIND(" ± ", 'results new format'!K55) - 2), 'results new format'!K55)</f>
        <v>120.1</v>
      </c>
      <c r="L55" s="33" t="str">
        <f>IF(ISNUMBER(FIND(" ± ", 'results new format'!L55)), LEFT('results new format'!L55, FIND(" ± ", 'results new format'!L55) - 2), 'results new format'!L55)</f>
        <v>12.9</v>
      </c>
      <c r="M55" s="33">
        <f>IF(ISNUMBER(FIND(" ± ", 'results new format'!M55)), LEFT('results new format'!M55, FIND(" ± ", 'results new format'!M55) - 2), 'results new format'!M55)</f>
        <v>86</v>
      </c>
    </row>
    <row r="58" spans="4:13" ht="15.75" thickBot="1" x14ac:dyDescent="0.3"/>
    <row r="59" spans="4:13" ht="15.75" thickBot="1" x14ac:dyDescent="0.3">
      <c r="D59" s="217" t="s">
        <v>275</v>
      </c>
      <c r="E59" s="218"/>
      <c r="F59" s="218"/>
      <c r="G59" s="218"/>
      <c r="H59" s="218"/>
      <c r="I59" s="218"/>
      <c r="J59" s="219"/>
    </row>
    <row r="60" spans="4:13" x14ac:dyDescent="0.25">
      <c r="D60" s="222" t="s">
        <v>31</v>
      </c>
      <c r="E60" s="225" t="s">
        <v>276</v>
      </c>
      <c r="F60" s="221"/>
      <c r="G60" s="221"/>
      <c r="H60" s="214" t="s">
        <v>277</v>
      </c>
      <c r="I60" s="216"/>
      <c r="J60" s="215"/>
      <c r="K60" s="234"/>
      <c r="L60" s="230"/>
      <c r="M60" s="230"/>
    </row>
    <row r="61" spans="4:13" ht="15.75" thickBot="1" x14ac:dyDescent="0.3">
      <c r="D61" s="223"/>
      <c r="E61" s="4" t="s">
        <v>47</v>
      </c>
      <c r="F61" s="15" t="s">
        <v>48</v>
      </c>
      <c r="G61" s="15" t="s">
        <v>49</v>
      </c>
      <c r="H61" s="3" t="s">
        <v>47</v>
      </c>
      <c r="I61" t="s">
        <v>48</v>
      </c>
      <c r="J61" s="6" t="s">
        <v>49</v>
      </c>
    </row>
    <row r="62" spans="4:13" x14ac:dyDescent="0.25">
      <c r="D62" s="2" t="s">
        <v>35</v>
      </c>
      <c r="E62" s="33" t="str">
        <f>IF(ISNUMBER(FIND(" ± ", 'results new format'!E62)), LEFT('results new format'!E62, FIND(" ± ", 'results new format'!E62) - 2), 'results new format'!E62)</f>
        <v>74.5</v>
      </c>
      <c r="F62" s="33" t="str">
        <f>IF(ISNUMBER(FIND(" ± ", 'results new format'!F62)), LEFT('results new format'!F62, FIND(" ± ", 'results new format'!F62) - 2), 'results new format'!F62)</f>
        <v>1.3</v>
      </c>
      <c r="G62" s="33">
        <f>IF(ISNUMBER(FIND(" ± ", 'results new format'!G62)), LEFT('results new format'!G62, FIND(" ± ", 'results new format'!G62) - 2), 'results new format'!G62)</f>
        <v>100</v>
      </c>
      <c r="H62" s="33" t="str">
        <f>IF(ISNUMBER(FIND(" ± ", 'results new format'!H62)), LEFT('results new format'!H62, FIND(" ± ", 'results new format'!H62) - 2), 'results new format'!H62)</f>
        <v>75.4</v>
      </c>
      <c r="I62" s="33" t="str">
        <f>IF(ISNUMBER(FIND(" ± ", 'results new format'!I62)), LEFT('results new format'!I62, FIND(" ± ", 'results new format'!I62) - 2), 'results new format'!I62)</f>
        <v>1.2</v>
      </c>
      <c r="J62" s="33">
        <f>IF(ISNUMBER(FIND(" ± ", 'results new format'!J62)), LEFT('results new format'!J62, FIND(" ± ", 'results new format'!J62) - 2), 'results new format'!J62)</f>
        <v>100</v>
      </c>
    </row>
    <row r="63" spans="4:13" x14ac:dyDescent="0.25">
      <c r="D63" s="3" t="s">
        <v>36</v>
      </c>
      <c r="E63" s="33" t="str">
        <f>IF(ISNUMBER(FIND(" ± ", 'results new format'!E63)), LEFT('results new format'!E63, FIND(" ± ", 'results new format'!E63) - 2), 'results new format'!E63)</f>
        <v>86.1</v>
      </c>
      <c r="F63" s="33" t="str">
        <f>IF(ISNUMBER(FIND(" ± ", 'results new format'!F63)), LEFT('results new format'!F63, FIND(" ± ", 'results new format'!F63) - 2), 'results new format'!F63)</f>
        <v>2.8</v>
      </c>
      <c r="G63" s="33">
        <f>IF(ISNUMBER(FIND(" ± ", 'results new format'!G63)), LEFT('results new format'!G63, FIND(" ± ", 'results new format'!G63) - 2), 'results new format'!G63)</f>
        <v>100</v>
      </c>
      <c r="H63" s="33" t="str">
        <f>IF(ISNUMBER(FIND(" ± ", 'results new format'!H63)), LEFT('results new format'!H63, FIND(" ± ", 'results new format'!H63) - 2), 'results new format'!H63)</f>
        <v>85.4</v>
      </c>
      <c r="I63" s="33" t="str">
        <f>IF(ISNUMBER(FIND(" ± ", 'results new format'!I63)), LEFT('results new format'!I63, FIND(" ± ", 'results new format'!I63) - 2), 'results new format'!I63)</f>
        <v>3.0</v>
      </c>
      <c r="J63" s="33">
        <f>IF(ISNUMBER(FIND(" ± ", 'results new format'!J63)), LEFT('results new format'!J63, FIND(" ± ", 'results new format'!J63) - 2), 'results new format'!J63)</f>
        <v>100</v>
      </c>
    </row>
    <row r="64" spans="4:13" ht="15.75" thickBot="1" x14ac:dyDescent="0.3">
      <c r="D64" s="4" t="s">
        <v>37</v>
      </c>
      <c r="E64" s="33" t="str">
        <f>IF(ISNUMBER(FIND(" ± ", 'results new format'!E64)), LEFT('results new format'!E64, FIND(" ± ", 'results new format'!E64) - 2), 'results new format'!E64)</f>
        <v>135.1</v>
      </c>
      <c r="F64" s="33" t="str">
        <f>IF(ISNUMBER(FIND(" ± ", 'results new format'!F64)), LEFT('results new format'!F64, FIND(" ± ", 'results new format'!F64) - 2), 'results new format'!F64)</f>
        <v>8.1</v>
      </c>
      <c r="G64" s="33">
        <f>IF(ISNUMBER(FIND(" ± ", 'results new format'!G64)), LEFT('results new format'!G64, FIND(" ± ", 'results new format'!G64) - 2), 'results new format'!G64)</f>
        <v>100</v>
      </c>
      <c r="H64" s="33" t="str">
        <f>IF(ISNUMBER(FIND(" ± ", 'results new format'!H64)), LEFT('results new format'!H64, FIND(" ± ", 'results new format'!H64) - 2), 'results new format'!H64)</f>
        <v>131.9</v>
      </c>
      <c r="I64" s="33" t="str">
        <f>IF(ISNUMBER(FIND(" ± ", 'results new format'!I64)), LEFT('results new format'!I64, FIND(" ± ", 'results new format'!I64) - 2), 'results new format'!I64)</f>
        <v>14.8</v>
      </c>
      <c r="J64" s="33">
        <f>IF(ISNUMBER(FIND(" ± ", 'results new format'!J64)), LEFT('results new format'!J64, FIND(" ± ", 'results new format'!J64) - 2), 'results new format'!J64)</f>
        <v>100</v>
      </c>
    </row>
    <row r="65" spans="4:10" x14ac:dyDescent="0.25">
      <c r="D65" s="3" t="s">
        <v>38</v>
      </c>
      <c r="E65" s="33" t="str">
        <f>IF(ISNUMBER(FIND(" ± ", 'results new format'!E65)), LEFT('results new format'!E65, FIND(" ± ", 'results new format'!E65) - 2), 'results new format'!E65)</f>
        <v>745.7</v>
      </c>
      <c r="F65" s="33" t="str">
        <f>IF(ISNUMBER(FIND(" ± ", 'results new format'!F65)), LEFT('results new format'!F65, FIND(" ± ", 'results new format'!F65) - 2), 'results new format'!F65)</f>
        <v>108.1</v>
      </c>
      <c r="G65" s="33">
        <f>IF(ISNUMBER(FIND(" ± ", 'results new format'!G65)), LEFT('results new format'!G65, FIND(" ± ", 'results new format'!G65) - 2), 'results new format'!G65)</f>
        <v>100</v>
      </c>
      <c r="H65" s="33" t="str">
        <f>IF(ISNUMBER(FIND(" ± ", 'results new format'!H65)), LEFT('results new format'!H65, FIND(" ± ", 'results new format'!H65) - 2), 'results new format'!H65)</f>
        <v>821.9</v>
      </c>
      <c r="I65" s="33" t="str">
        <f>IF(ISNUMBER(FIND(" ± ", 'results new format'!I65)), LEFT('results new format'!I65, FIND(" ± ", 'results new format'!I65) - 2), 'results new format'!I65)</f>
        <v>215.0</v>
      </c>
      <c r="J65" s="33">
        <f>IF(ISNUMBER(FIND(" ± ", 'results new format'!J65)), LEFT('results new format'!J65, FIND(" ± ", 'results new format'!J65) - 2), 'results new format'!J65)</f>
        <v>64</v>
      </c>
    </row>
    <row r="66" spans="4:10" x14ac:dyDescent="0.25">
      <c r="D66" s="3" t="s">
        <v>39</v>
      </c>
      <c r="E66" s="33" t="str">
        <f>IF(ISNUMBER(FIND(" ± ", 'results new format'!E66)), LEFT('results new format'!E66, FIND(" ± ", 'results new format'!E66) - 2), 'results new format'!E66)</f>
        <v>465.7</v>
      </c>
      <c r="F66" s="33" t="str">
        <f>IF(ISNUMBER(FIND(" ± ", 'results new format'!F66)), LEFT('results new format'!F66, FIND(" ± ", 'results new format'!F66) - 2), 'results new format'!F66)</f>
        <v>146.6</v>
      </c>
      <c r="G66" s="33">
        <f>IF(ISNUMBER(FIND(" ± ", 'results new format'!G66)), LEFT('results new format'!G66, FIND(" ± ", 'results new format'!G66) - 2), 'results new format'!G66)</f>
        <v>100</v>
      </c>
      <c r="H66" s="33" t="str">
        <f>IF(ISNUMBER(FIND(" ± ", 'results new format'!H66)), LEFT('results new format'!H66, FIND(" ± ", 'results new format'!H66) - 2), 'results new format'!H66)</f>
        <v>478.8</v>
      </c>
      <c r="I66" s="33" t="str">
        <f>IF(ISNUMBER(FIND(" ± ", 'results new format'!I66)), LEFT('results new format'!I66, FIND(" ± ", 'results new format'!I66) - 2), 'results new format'!I66)</f>
        <v>159.8</v>
      </c>
      <c r="J66" s="33">
        <f>IF(ISNUMBER(FIND(" ± ", 'results new format'!J66)), LEFT('results new format'!J66, FIND(" ± ", 'results new format'!J66) - 2), 'results new format'!J66)</f>
        <v>96</v>
      </c>
    </row>
    <row r="67" spans="4:10" ht="15.75" thickBot="1" x14ac:dyDescent="0.3">
      <c r="D67" s="4" t="s">
        <v>40</v>
      </c>
      <c r="E67" s="33" t="str">
        <f>IF(ISNUMBER(FIND(" ± ", 'results new format'!E67)), LEFT('results new format'!E67, FIND(" ± ", 'results new format'!E67) - 2), 'results new format'!E67)</f>
        <v>956.6</v>
      </c>
      <c r="F67" s="33" t="str">
        <f>IF(ISNUMBER(FIND(" ± ", 'results new format'!F67)), LEFT('results new format'!F67, FIND(" ± ", 'results new format'!F67) - 2), 'results new format'!F67)</f>
        <v>312.8</v>
      </c>
      <c r="G67" s="33">
        <f>IF(ISNUMBER(FIND(" ± ", 'results new format'!G67)), LEFT('results new format'!G67, FIND(" ± ", 'results new format'!G67) - 2), 'results new format'!G67)</f>
        <v>96</v>
      </c>
      <c r="H67" s="33" t="str">
        <f>IF(ISNUMBER(FIND(" ± ", 'results new format'!H67)), LEFT('results new format'!H67, FIND(" ± ", 'results new format'!H67) - 2), 'results new format'!H67)</f>
        <v>863.7</v>
      </c>
      <c r="I67" s="33" t="str">
        <f>IF(ISNUMBER(FIND(" ± ", 'results new format'!I67)), LEFT('results new format'!I67, FIND(" ± ", 'results new format'!I67) - 2), 'results new format'!I67)</f>
        <v>252.1</v>
      </c>
      <c r="J67" s="33">
        <f>IF(ISNUMBER(FIND(" ± ", 'results new format'!J67)), LEFT('results new format'!J67, FIND(" ± ", 'results new format'!J67) - 2), 'results new format'!J67)</f>
        <v>78</v>
      </c>
    </row>
    <row r="68" spans="4:10" ht="15.75" thickBot="1" x14ac:dyDescent="0.3">
      <c r="D68" s="3" t="s">
        <v>11</v>
      </c>
      <c r="E68" s="33" t="str">
        <f>IF(ISNUMBER(FIND(" ± ", 'results new format'!E68)), LEFT('results new format'!E68, FIND(" ± ", 'results new format'!E68) - 2), 'results new format'!E68)</f>
        <v>60.2</v>
      </c>
      <c r="F68" s="33" t="str">
        <f>IF(ISNUMBER(FIND(" ± ", 'results new format'!F68)), LEFT('results new format'!F68, FIND(" ± ", 'results new format'!F68) - 2), 'results new format'!F68)</f>
        <v>5.6</v>
      </c>
      <c r="G68" s="33">
        <f>IF(ISNUMBER(FIND(" ± ", 'results new format'!G68)), LEFT('results new format'!G68, FIND(" ± ", 'results new format'!G68) - 2), 'results new format'!G68)</f>
        <v>94</v>
      </c>
      <c r="H68" s="33" t="str">
        <f>IF(ISNUMBER(FIND(" ± ", 'results new format'!H68)), LEFT('results new format'!H68, FIND(" ± ", 'results new format'!H68) - 2), 'results new format'!H68)</f>
        <v>56.8</v>
      </c>
      <c r="I68" s="33" t="str">
        <f>IF(ISNUMBER(FIND(" ± ", 'results new format'!I68)), LEFT('results new format'!I68, FIND(" ± ", 'results new format'!I68) - 2), 'results new format'!I68)</f>
        <v>2.8</v>
      </c>
      <c r="J68" s="33">
        <f>IF(ISNUMBER(FIND(" ± ", 'results new format'!J68)), LEFT('results new format'!J68, FIND(" ± ", 'results new format'!J68) - 2), 'results new format'!J68)</f>
        <v>12</v>
      </c>
    </row>
    <row r="69" spans="4:10" ht="15.75" thickBot="1" x14ac:dyDescent="0.3">
      <c r="D69" s="8" t="s">
        <v>8</v>
      </c>
      <c r="E69" s="33" t="str">
        <f>IF(ISNUMBER(FIND(" ± ", 'results new format'!E69)), LEFT('results new format'!E69, FIND(" ± ", 'results new format'!E69) - 2), 'results new format'!E69)</f>
        <v>10.6</v>
      </c>
      <c r="F69" s="33" t="str">
        <f>IF(ISNUMBER(FIND(" ± ", 'results new format'!F69)), LEFT('results new format'!F69, FIND(" ± ", 'results new format'!F69) - 2), 'results new format'!F69)</f>
        <v>2.4</v>
      </c>
      <c r="G69" s="33">
        <f>IF(ISNUMBER(FIND(" ± ", 'results new format'!G69)), LEFT('results new format'!G69, FIND(" ± ", 'results new format'!G69) - 2), 'results new format'!G69)</f>
        <v>96</v>
      </c>
      <c r="H69" s="33" t="str">
        <f>IF(ISNUMBER(FIND(" ± ", 'results new format'!H69)), LEFT('results new format'!H69, FIND(" ± ", 'results new format'!H69) - 2), 'results new format'!H69)</f>
        <v>10.6</v>
      </c>
      <c r="I69" s="33" t="str">
        <f>IF(ISNUMBER(FIND(" ± ", 'results new format'!I69)), LEFT('results new format'!I69, FIND(" ± ", 'results new format'!I69) - 2), 'results new format'!I69)</f>
        <v>2.4</v>
      </c>
      <c r="J69" s="33">
        <f>IF(ISNUMBER(FIND(" ± ", 'results new format'!J69)), LEFT('results new format'!J69, FIND(" ± ", 'results new format'!J69) - 2), 'results new format'!J69)</f>
        <v>96</v>
      </c>
    </row>
    <row r="70" spans="4:10" x14ac:dyDescent="0.25">
      <c r="D70" s="2" t="s">
        <v>4</v>
      </c>
      <c r="E70" s="33" t="str">
        <f>IF(ISNUMBER(FIND(" ± ", 'results new format'!E70)), LEFT('results new format'!E70, FIND(" ± ", 'results new format'!E70) - 2), 'results new format'!E70)</f>
        <v>36.4</v>
      </c>
      <c r="F70" s="33" t="str">
        <f>IF(ISNUMBER(FIND(" ± ", 'results new format'!F70)), LEFT('results new format'!F70, FIND(" ± ", 'results new format'!F70) - 2), 'results new format'!F70)</f>
        <v>0.3</v>
      </c>
      <c r="G70" s="33">
        <f>IF(ISNUMBER(FIND(" ± ", 'results new format'!G70)), LEFT('results new format'!G70, FIND(" ± ", 'results new format'!G70) - 2), 'results new format'!G70)</f>
        <v>94</v>
      </c>
      <c r="H70" s="33" t="str">
        <f>IF(ISNUMBER(FIND(" ± ", 'results new format'!H70)), LEFT('results new format'!H70, FIND(" ± ", 'results new format'!H70) - 2), 'results new format'!H70)</f>
        <v>36.8</v>
      </c>
      <c r="I70" s="33" t="str">
        <f>IF(ISNUMBER(FIND(" ± ", 'results new format'!I70)), LEFT('results new format'!I70, FIND(" ± ", 'results new format'!I70) - 2), 'results new format'!I70)</f>
        <v>0.3</v>
      </c>
      <c r="J70" s="33">
        <f>IF(ISNUMBER(FIND(" ± ", 'results new format'!J70)), LEFT('results new format'!J70, FIND(" ± ", 'results new format'!J70) - 2), 'results new format'!J70)</f>
        <v>94</v>
      </c>
    </row>
    <row r="71" spans="4:10" ht="15.75" thickBot="1" x14ac:dyDescent="0.3">
      <c r="D71" s="4" t="s">
        <v>5</v>
      </c>
      <c r="E71" s="33" t="str">
        <f>IF(ISNUMBER(FIND(" ± ", 'results new format'!E71)), LEFT('results new format'!E71, FIND(" ± ", 'results new format'!E71) - 2), 'results new format'!E71)</f>
        <v>93.6</v>
      </c>
      <c r="F71" s="33" t="str">
        <f>IF(ISNUMBER(FIND(" ± ", 'results new format'!F71)), LEFT('results new format'!F71, FIND(" ± ", 'results new format'!F71) - 2), 'results new format'!F71)</f>
        <v>2.7</v>
      </c>
      <c r="G71" s="33">
        <f>IF(ISNUMBER(FIND(" ± ", 'results new format'!G71)), LEFT('results new format'!G71, FIND(" ± ", 'results new format'!G71) - 2), 'results new format'!G71)</f>
        <v>88</v>
      </c>
      <c r="H71" s="33" t="str">
        <f>IF(ISNUMBER(FIND(" ± ", 'results new format'!H71)), LEFT('results new format'!H71, FIND(" ± ", 'results new format'!H71) - 2), 'results new format'!H71)</f>
        <v>83.1</v>
      </c>
      <c r="I71" s="33" t="str">
        <f>IF(ISNUMBER(FIND(" ± ", 'results new format'!I71)), LEFT('results new format'!I71, FIND(" ± ", 'results new format'!I71) - 2), 'results new format'!I71)</f>
        <v>1.8</v>
      </c>
      <c r="J71" s="33">
        <f>IF(ISNUMBER(FIND(" ± ", 'results new format'!J71)), LEFT('results new format'!J71, FIND(" ± ", 'results new format'!J71) - 2), 'results new format'!J71)</f>
        <v>88</v>
      </c>
    </row>
    <row r="72" spans="4:10" x14ac:dyDescent="0.25">
      <c r="D72" s="2" t="s">
        <v>13</v>
      </c>
      <c r="E72" s="33" t="str">
        <f>IF(ISNUMBER(FIND(" ± ", 'results new format'!E72)), LEFT('results new format'!E72, FIND(" ± ", 'results new format'!E72) - 2), 'results new format'!E72)</f>
        <v>45.1</v>
      </c>
      <c r="F72" s="33" t="str">
        <f>IF(ISNUMBER(FIND(" ± ", 'results new format'!F72)), LEFT('results new format'!F72, FIND(" ± ", 'results new format'!F72) - 2), 'results new format'!F72)</f>
        <v>3.6</v>
      </c>
      <c r="G72" s="33">
        <f>IF(ISNUMBER(FIND(" ± ", 'results new format'!G72)), LEFT('results new format'!G72, FIND(" ± ", 'results new format'!G72) - 2), 'results new format'!G72)</f>
        <v>100</v>
      </c>
      <c r="H72" s="33" t="str">
        <f>IF(ISNUMBER(FIND(" ± ", 'results new format'!H72)), LEFT('results new format'!H72, FIND(" ± ", 'results new format'!H72) - 2), 'results new format'!H72)</f>
        <v>47.8</v>
      </c>
      <c r="I72" s="33" t="str">
        <f>IF(ISNUMBER(FIND(" ± ", 'results new format'!I72)), LEFT('results new format'!I72, FIND(" ± ", 'results new format'!I72) - 2), 'results new format'!I72)</f>
        <v>12.0</v>
      </c>
      <c r="J72" s="33">
        <f>IF(ISNUMBER(FIND(" ± ", 'results new format'!J72)), LEFT('results new format'!J72, FIND(" ± ", 'results new format'!J72) - 2), 'results new format'!J72)</f>
        <v>90</v>
      </c>
    </row>
    <row r="73" spans="4:10" ht="15.75" thickBot="1" x14ac:dyDescent="0.3">
      <c r="D73" s="4" t="s">
        <v>14</v>
      </c>
      <c r="E73" s="33" t="str">
        <f>IF(ISNUMBER(FIND(" ± ", 'results new format'!E73)), LEFT('results new format'!E73, FIND(" ± ", 'results new format'!E73) - 2), 'results new format'!E73)</f>
        <v>64.2</v>
      </c>
      <c r="F73" s="33" t="str">
        <f>IF(ISNUMBER(FIND(" ± ", 'results new format'!F73)), LEFT('results new format'!F73, FIND(" ± ", 'results new format'!F73) - 2), 'results new format'!F73)</f>
        <v>25.5</v>
      </c>
      <c r="G73" s="33">
        <f>IF(ISNUMBER(FIND(" ± ", 'results new format'!G73)), LEFT('results new format'!G73, FIND(" ± ", 'results new format'!G73) - 2), 'results new format'!G73)</f>
        <v>100</v>
      </c>
      <c r="H73" s="33" t="str">
        <f>IF(ISNUMBER(FIND(" ± ", 'results new format'!H73)), LEFT('results new format'!H73, FIND(" ± ", 'results new format'!H73) - 2), 'results new format'!H73)</f>
        <v>66.2</v>
      </c>
      <c r="I73" s="33" t="str">
        <f>IF(ISNUMBER(FIND(" ± ", 'results new format'!I73)), LEFT('results new format'!I73, FIND(" ± ", 'results new format'!I73) - 2), 'results new format'!I73)</f>
        <v>42.3</v>
      </c>
      <c r="J73" s="33">
        <f>IF(ISNUMBER(FIND(" ± ", 'results new format'!J73)), LEFT('results new format'!J73, FIND(" ± ", 'results new format'!J73) - 2), 'results new format'!J73)</f>
        <v>90</v>
      </c>
    </row>
  </sheetData>
  <mergeCells count="16">
    <mergeCell ref="D23:P23"/>
    <mergeCell ref="D24:D25"/>
    <mergeCell ref="E24:G24"/>
    <mergeCell ref="H24:J24"/>
    <mergeCell ref="K24:M24"/>
    <mergeCell ref="N24:P24"/>
    <mergeCell ref="D60:D61"/>
    <mergeCell ref="E60:G60"/>
    <mergeCell ref="H60:J60"/>
    <mergeCell ref="K60:M60"/>
    <mergeCell ref="D41:M41"/>
    <mergeCell ref="D42:D43"/>
    <mergeCell ref="E42:G42"/>
    <mergeCell ref="H42:J42"/>
    <mergeCell ref="K42:M42"/>
    <mergeCell ref="D59:J5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 for paper</vt:lpstr>
      <vt:lpstr>results</vt:lpstr>
      <vt:lpstr>domain stats</vt:lpstr>
      <vt:lpstr>res</vt:lpstr>
      <vt:lpstr>results new format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Ravkaie, Tomer</dc:creator>
  <cp:lastModifiedBy>Ravkaie, Tomer</cp:lastModifiedBy>
  <dcterms:created xsi:type="dcterms:W3CDTF">2025-04-19T13:31:52Z</dcterms:created>
  <dcterms:modified xsi:type="dcterms:W3CDTF">2025-08-02T17:56:46Z</dcterms:modified>
</cp:coreProperties>
</file>